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bookViews>
    <workbookView activeTab="0"/>
  </bookViews>
  <sheets>
    <sheet name="Read me first" sheetId="1" r:id="rId1"/>
    <sheet name="Context" sheetId="2" r:id="rId2"/>
    <sheet name="Requirements" sheetId="3" r:id="rId3"/>
    <sheet name="Vendor comparison" sheetId="4" r:id="rId4"/>
    <sheet name="Demo script" sheetId="5" r:id="rId5"/>
    <sheet name="Summary" sheetId="6" r:id="rId6"/>
    <sheet name="Action plan" sheetId="7" r:id="rId7"/>
  </sheets>
  <definedNames>
    <definedName name="BuyerType">Context!$B$4</definedName>
    <definedName name="_xlnm._FilterDatabase" localSheetId="2" hidden="1">Requirements!$A$1:$J$32</definedName>
  </definedNames>
  <calcPr calcId="191029" fullCalcOnLoad="1"/>
</workbook>
</file>

<file path=xl/styles.xml><?xml version="1.0" encoding="utf-8"?>
<styleSheet xmlns="http://schemas.openxmlformats.org/spreadsheetml/2006/main">
  <numFmts count="1">
    <numFmt numFmtId="164" formatCode="yyyy-mm-dd"/>
  </numFmts>
  <fonts count="6">
    <font>
      <sz val="11"/>
      <name val="Calibri"/>
      <family val="2"/>
    </font>
    <font>
      <b/>
      <sz val="11"/>
      <color rgb="FFFFFFFF"/>
      <name val="Calibri"/>
      <family val="2"/>
    </font>
    <font>
      <b/>
      <sz val="11"/>
      <name val="Calibri"/>
      <family val="2"/>
    </font>
    <font>
      <b/>
      <sz val="16"/>
      <name val="Calibri"/>
      <family val="2"/>
    </font>
    <font>
      <i/>
      <sz val="10"/>
      <color rgb="FF6B7280"/>
      <name val="Calibri"/>
      <family val="2"/>
    </font>
    <font>
      <b/>
      <sz val="11"/>
      <color rgb="FF7C2D12"/>
      <name val="Calibri"/>
      <family val="2"/>
    </font>
  </fonts>
  <fills count="5">
    <fill>
      <patternFill patternType="none"/>
    </fill>
    <fill>
      <patternFill patternType="gray125"/>
    </fill>
    <fill>
      <patternFill patternType="solid">
        <fgColor rgb="FF9A3412"/>
        <bgColor indexed="64"/>
      </patternFill>
    </fill>
    <fill>
      <patternFill patternType="solid">
        <fgColor rgb="FFFFF7ED"/>
        <bgColor indexed="64"/>
      </patternFill>
    </fill>
    <fill>
      <patternFill patternType="solid">
        <fgColor rgb="FFF3F1EC"/>
        <bgColor indexed="64"/>
      </patternFill>
    </fill>
  </fills>
  <borders count="3">
    <border>
      <left/>
      <right/>
      <top/>
      <bottom/>
      <diagonal/>
    </border>
    <border>
      <left style="thin">
        <color rgb="FF7C2D12"/>
      </left>
      <right style="thin">
        <color rgb="FF7C2D12"/>
      </right>
      <top style="thin">
        <color rgb="FF7C2D12"/>
      </top>
      <bottom style="thin">
        <color rgb="FF7C2D12"/>
      </bottom>
      <diagonal/>
    </border>
    <border>
      <left style="thin">
        <color rgb="FFD6D3CC"/>
      </left>
      <right style="thin">
        <color rgb="FFD6D3CC"/>
      </right>
      <top style="thin">
        <color rgb="FFD6D3CC"/>
      </top>
      <bottom style="thin">
        <color rgb="FFD6D3CC"/>
      </bottom>
      <diagonal/>
    </border>
  </borders>
  <cellStyleXfs count="1">
    <xf numFmtId="0" fontId="0" fillId="0" borderId="0"/>
  </cellStyleXfs>
  <cellXfs count="13">
    <xf numFmtId="0" fontId="0" fillId="0" borderId="0" xfId="0"/>
    <xf numFmtId="0" fontId="1" fillId="2" borderId="1" xfId="0" applyFont="1" applyFill="1" applyBorder="1" applyAlignment="1">
      <alignment vertical="center" wrapText="1"/>
    </xf>
    <xf numFmtId="164" fontId="0" fillId="0" borderId="0" xfId="0" applyNumberFormat="1"/>
    <xf numFmtId="0" fontId="2" fillId="0" borderId="0" xfId="0" applyFont="1"/>
    <xf numFmtId="0" fontId="0" fillId="0" borderId="0" xfId="0" applyAlignment="1">
      <alignment vertical="top" wrapText="1"/>
    </xf>
    <xf numFmtId="0" fontId="3" fillId="0" borderId="0" xfId="0" applyFont="1"/>
    <xf numFmtId="0" fontId="0" fillId="3" borderId="1" xfId="0" applyFill="1" applyBorder="1" applyAlignment="1">
      <alignment vertical="top" wrapText="1"/>
    </xf>
    <xf numFmtId="164" fontId="0" fillId="3" borderId="1" xfId="0" applyNumberFormat="1" applyFill="1" applyBorder="1" applyAlignment="1">
      <alignment vertical="top"/>
    </xf>
    <xf numFmtId="0" fontId="4" fillId="0" borderId="0" xfId="0" applyFont="1" applyAlignment="1">
      <alignment vertical="top" wrapText="1"/>
    </xf>
    <xf numFmtId="0" fontId="5" fillId="4" borderId="0" xfId="0" applyFont="1" applyFill="1"/>
    <xf numFmtId="0" fontId="0" fillId="0" borderId="2" xfId="0" applyBorder="1" applyAlignment="1">
      <alignment vertical="top" wrapText="1"/>
    </xf>
    <xf numFmtId="0" fontId="2" fillId="0" borderId="2" xfId="0" applyFont="1" applyBorder="1" applyAlignment="1">
      <alignment vertical="top" wrapText="1"/>
    </xf>
    <xf numFmtId="0" fontId="0" fillId="0" borderId="2" xfId="0" applyBorder="1" applyAlignment="1">
      <alignment horizontal="center"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Pr>
    <pageSetUpPr fitToPage="1"/>
  </sheetPr>
  <sheetViews>
    <sheetView workbookViewId="0" tabSelected="1"/>
  </sheetViews>
  <sheetFormatPr defaultRowHeight="15"/>
  <cols>
    <col min="1" max="1" width="22" customWidth="1"/>
    <col min="2" max="2" width="100" customWidth="1"/>
  </cols>
  <sheetData>
    <row r="1">
      <c r="A1" s="5" t="inlineStr">
        <is>
          <t xml:space="preserve">Vendor demo comparison checklist</t>
        </is>
      </c>
    </row>
    <row r="2">
      <c r="A2" s="8" t="inlineStr">
        <is>
          <t xml:space="preserve">Version 2. Software Lantern.</t>
        </is>
      </c>
    </row>
    <row r="4">
      <c r="A4" s="9" t="inlineStr">
        <is>
          <t xml:space="preserve">This is guidance, not a security audit</t>
        </is>
      </c>
      <c r="B4" s="9" t="inlineStr">
        <is>
          <t xml:space="preserve"/>
        </is>
      </c>
    </row>
    <row r="5">
      <c r="A5" s="4" t="inlineStr">
        <is>
          <t xml:space="preserve">This workbook helps you ask every remote access vendor the same questions and record what you actually saw. It is guidance, not a security audit, a certification or legal advice, and completing it does not show that any product or setup is secure. It names no vendor and suggests no right answers.</t>
        </is>
      </c>
    </row>
    <row r="7">
      <c r="A7" s="9" t="inlineStr">
        <is>
          <t xml:space="preserve">How to use it</t>
        </is>
      </c>
      <c r="B7" s="9" t="inlineStr">
        <is>
          <t xml:space="preserve"/>
        </is>
      </c>
    </row>
    <row r="8">
      <c r="A8" s="4" t="inlineStr">
        <is>
          <t xml:space="preserve">1. Context: choose your buyer type and describe your sites, machines and suppliers. The buyer type decides which priority column the other sheets use.</t>
        </is>
      </c>
    </row>
    <row r="9">
      <c r="A9" s="4" t="inlineStr">
        <is>
          <t xml:space="preserve">2. Requirements: 31 rows grouped under Identity, Scope, Lifecycle, Evidence, Availability and Fit and commercial. Adjust the default priorities (Must, Should, Nice) to your situation, and write your own requirement where it helps.</t>
        </is>
      </c>
    </row>
    <row r="10">
      <c r="A10" s="4" t="inlineStr">
        <is>
          <t xml:space="preserve">3. Vendor comparison: type each vendor's name over Vendor A, B and C. For each row record the answer, an evidence status and notes.</t>
        </is>
      </c>
    </row>
    <row r="11">
      <c r="A11" s="4" t="inlineStr">
        <is>
          <t xml:space="preserve">4. Demo script: ask each vendor to run the 7 scenarios live, on a system you direct. What you see there is what moves a row to Verified in demo.</t>
        </is>
      </c>
    </row>
    <row r="12">
      <c r="A12" s="4" t="inlineStr">
        <is>
          <t xml:space="preserve">5. Summary: per vendor, the Must rows for your buyer type and the evidence behind them, and the Must rows still open. There is deliberately no overall score.</t>
        </is>
      </c>
    </row>
    <row r="13">
      <c r="A13" s="4" t="inlineStr">
        <is>
          <t xml:space="preserve">6. Action plan: the Must rows still open for at least one vendor, with the evidence to collect. Before you add owners and dates, copy the items and paste them as values, so your notes stay next to the right item when statuses change.</t>
        </is>
      </c>
    </row>
    <row r="15">
      <c r="A15" s="9" t="inlineStr">
        <is>
          <t xml:space="preserve">Evidence status</t>
        </is>
      </c>
      <c r="B15" s="9" t="inlineStr">
        <is>
          <t xml:space="preserve"/>
        </is>
      </c>
    </row>
    <row r="16">
      <c r="A16" s="11" t="inlineStr">
        <is>
          <t xml:space="preserve">Verified in demo</t>
        </is>
      </c>
      <c r="B16" s="10" t="inlineStr">
        <is>
          <t xml:space="preserve">You saw it work, live, on a system you could direct.</t>
        </is>
      </c>
    </row>
    <row r="17">
      <c r="A17" s="11" t="inlineStr">
        <is>
          <t xml:space="preserve">Documented only</t>
        </is>
      </c>
      <c r="B17" s="10" t="inlineStr">
        <is>
          <t xml:space="preserve">It is in written documentation, a contract or a configuration export, but you have not seen it work.</t>
        </is>
      </c>
    </row>
    <row r="18">
      <c r="A18" s="11" t="inlineStr">
        <is>
          <t xml:space="preserve">Claimed</t>
        </is>
      </c>
      <c r="B18" s="10" t="inlineStr">
        <is>
          <t xml:space="preserve">The vendor said so, in a meeting or a slide, with nothing you can check.</t>
        </is>
      </c>
    </row>
    <row r="19">
      <c r="A19" s="11" t="inlineStr">
        <is>
          <t xml:space="preserve">Not answered</t>
        </is>
      </c>
      <c r="B19" s="10" t="inlineStr">
        <is>
          <t xml:space="preserve">Asked and not answered, or not asked yet. A blank status counts the same.</t>
        </is>
      </c>
    </row>
    <row r="20">
      <c r="A20" s="11" t="inlineStr">
        <is>
          <t xml:space="preserve">Not applicable</t>
        </is>
      </c>
      <c r="B20" s="10" t="inlineStr">
        <is>
          <t xml:space="preserve">The row does not apply to your setup. Write down why in Notes.</t>
        </is>
      </c>
    </row>
    <row r="21">
      <c r="A21" s="4" t="inlineStr">
        <is>
          <t xml:space="preserve">A Must row is open for a vendor until it is Verified in demo or marked Not applicable.</t>
        </is>
      </c>
    </row>
    <row r="23">
      <c r="A23" s="9" t="inlineStr">
        <is>
          <t xml:space="preserve">Priorities</t>
        </is>
      </c>
      <c r="B23" s="9" t="inlineStr">
        <is>
          <t xml:space="preserve"/>
        </is>
      </c>
    </row>
    <row r="24">
      <c r="A24" s="11" t="inlineStr">
        <is>
          <t xml:space="preserve">Must</t>
        </is>
      </c>
      <c r="B24" s="10" t="inlineStr">
        <is>
          <t xml:space="preserve">Without it, do not go ahead with the vendor unless you accept the gap in writing.</t>
        </is>
      </c>
    </row>
    <row r="25">
      <c r="A25" s="11" t="inlineStr">
        <is>
          <t xml:space="preserve">Should</t>
        </is>
      </c>
      <c r="B25" s="10" t="inlineStr">
        <is>
          <t xml:space="preserve">Expected. A gap needs a reason and a plan.</t>
        </is>
      </c>
    </row>
    <row r="26">
      <c r="A26" s="11" t="inlineStr">
        <is>
          <t xml:space="preserve">Nice</t>
        </is>
      </c>
      <c r="B26" s="10" t="inlineStr">
        <is>
          <t xml:space="preserve">Helps, but does not decide anything.</t>
        </is>
      </c>
    </row>
    <row r="27">
      <c r="A27" s="4" t="inlineStr">
        <is>
          <t xml:space="preserve">The defaults for each buyer type are a starting point, not a rule. Change them.</t>
        </is>
      </c>
    </row>
    <row r="29">
      <c r="A29" s="9" t="inlineStr">
        <is>
          <t xml:space="preserve">Where the rows come from</t>
        </is>
      </c>
      <c r="B29" s="9" t="inlineStr">
        <is>
          <t xml:space="preserve"/>
        </is>
      </c>
    </row>
    <row r="30">
      <c r="A30" s="4" t="inlineStr">
        <is>
          <t xml:space="preserve">The rows follow the five governance dimensions of Software Lantern's regional report Remote Access Is a Governance Problem, whose Appendix A lists the same rows, plus a Fit and commercial group. Version 2 adds: whether all access paths are inventoried and owned; whether a session needs approval before it starts; whether emergency (break-glass) access has an approval and an end time; whether a departing engineer can be removed end to end; whether file transfer and program changes through the connection can be restricted and logged; how it behaves when the platform, cloud or identity service is unavailable.</t>
        </is>
      </c>
    </row>
  </sheetData>
  <mergeCells count="10">
    <mergeCell ref="A5:B5"/>
    <mergeCell ref="A8:B8"/>
    <mergeCell ref="A9:B9"/>
    <mergeCell ref="A10:B10"/>
    <mergeCell ref="A11:B11"/>
    <mergeCell ref="A12:B12"/>
    <mergeCell ref="A13:B13"/>
    <mergeCell ref="A21:B21"/>
    <mergeCell ref="A27:B27"/>
    <mergeCell ref="A30:B30"/>
  </mergeCells>
  <pageMargins left="0.4" right="0.4" top="0.5" bottom="0.5" header="0.3" footer="0.3"/>
  <pageSetup paperSize="9" orientation="portrait" fitToWidth="1" fitToHeight="0"/>
</worksheet>
</file>

<file path=xl/worksheets/sheet2.xml><?xml version="1.0" encoding="utf-8"?>
<worksheet xmlns="http://schemas.openxmlformats.org/spreadsheetml/2006/main" xmlns:r="http://schemas.openxmlformats.org/officeDocument/2006/relationships">
  <sheetPr>
    <pageSetUpPr fitToPage="1"/>
  </sheetPr>
  <sheetViews>
    <sheetView workbookViewId="0"/>
  </sheetViews>
  <sheetFormatPr defaultRowHeight="15"/>
  <cols>
    <col min="1" max="1" width="34" customWidth="1"/>
    <col min="2" max="2" width="34" customWidth="1"/>
    <col min="3" max="3" width="70" customWidth="1"/>
  </cols>
  <sheetData>
    <row r="1">
      <c r="A1" s="5" t="inlineStr">
        <is>
          <t xml:space="preserve">Context</t>
        </is>
      </c>
    </row>
    <row r="2">
      <c r="A2" s="8" t="inlineStr">
        <is>
          <t xml:space="preserve">Fill in the shaded cells. The buyer type decides which priority column the Vendor comparison, Summary and Action plan use.</t>
        </is>
      </c>
    </row>
    <row r="3">
      <c r="A3" s="1" t="inlineStr">
        <is>
          <t xml:space="preserve">Question</t>
        </is>
      </c>
      <c r="B3" s="1" t="inlineStr">
        <is>
          <t xml:space="preserve">Your answer</t>
        </is>
      </c>
      <c r="C3" s="1" t="inlineStr">
        <is>
          <t xml:space="preserve">Note</t>
        </is>
      </c>
    </row>
    <row r="4">
      <c r="A4" s="11" t="inlineStr">
        <is>
          <t xml:space="preserve">Buyer type</t>
        </is>
      </c>
      <c r="B4" s="6"/>
      <c r="C4" s="8" t="inlineStr">
        <is>
          <t xml:space="preserve">Machine builder, Factory operator, Integrator.</t>
        </is>
      </c>
    </row>
    <row r="5">
      <c r="A5" s="11" t="inlineStr">
        <is>
          <t xml:space="preserve">Number of sites</t>
        </is>
      </c>
      <c r="B5" s="6"/>
      <c r="C5" s="8" t="inlineStr">
        <is>
          <t xml:space="preserve">Sites that remote access reaches, or will reach.</t>
        </is>
      </c>
    </row>
    <row r="6">
      <c r="A6" s="11" t="inlineStr">
        <is>
          <t xml:space="preserve">Number of machines</t>
        </is>
      </c>
      <c r="B6" s="6"/>
      <c r="C6" s="8" t="inlineStr">
        <is>
          <t xml:space="preserve">Machines with a remote access path, now or planned.</t>
        </is>
      </c>
    </row>
    <row r="7">
      <c r="A7" s="11" t="inlineStr">
        <is>
          <t xml:space="preserve">Number of external suppliers</t>
        </is>
      </c>
      <c r="B7" s="6"/>
      <c r="C7" s="8" t="inlineStr">
        <is>
          <t xml:space="preserve">Companies whose people connect remotely, dealers and subcontractors included.</t>
        </is>
      </c>
    </row>
    <row r="8">
      <c r="A8" s="11" t="inlineStr">
        <is>
          <t xml:space="preserve">Current access methods</t>
        </is>
      </c>
      <c r="B8" s="6"/>
      <c r="C8" s="8" t="inlineStr">
        <is>
          <t xml:space="preserve">For example VPN, remote support tool, jump host, OT gateway, modem. List every one in use.</t>
        </is>
      </c>
    </row>
    <row r="9">
      <c r="A9" s="11" t="inlineStr">
        <is>
          <t xml:space="preserve">Is remote support business-critical?</t>
        </is>
      </c>
      <c r="B9" s="6"/>
      <c r="C9" s="8" t="inlineStr">
        <is>
          <t xml:space="preserve">Yes if losing remote access would stop production or break a service commitment.</t>
        </is>
      </c>
    </row>
  </sheetData>
  <mergeCells count="1">
    <mergeCell ref="A2:C2"/>
  </mergeCells>
  <dataValidations count="3">
    <dataValidation type="list" allowBlank="1" showErrorMessage="1" showInputMessage="1" prompt="Choose your buyer type." errorTitle="Choose from the list" error="Choose one of: Machine builder, Factory operator, Integrator." sqref="B4">
      <formula1>"Machine builder,Factory operator,Integrator"</formula1>
    </dataValidation>
    <dataValidation type="whole" operator="greaterThanOrEqual" allowBlank="1" showErrorMessage="1" errorTitle="Whole number" error="Enter a whole number of 0 or more." sqref="B5:B7">
      <formula1>0</formula1>
    </dataValidation>
    <dataValidation type="list" allowBlank="1" showErrorMessage="1" errorTitle="Choose from the list" error="Choose one of: Yes, Partly, No." sqref="B9">
      <formula1>"Yes,Partly,No"</formula1>
    </dataValidation>
  </dataValidations>
  <pageMargins left="0.4" right="0.4" top="0.5" bottom="0.5" header="0.3" footer="0.3"/>
  <pageSetup paperSize="9" orientation="portrait" fitToWidth="1" fitToHeight="0"/>
</worksheet>
</file>

<file path=xl/worksheets/sheet3.xml><?xml version="1.0" encoding="utf-8"?>
<worksheet xmlns="http://schemas.openxmlformats.org/spreadsheetml/2006/main" xmlns:r="http://schemas.openxmlformats.org/officeDocument/2006/relationships">
  <sheetPr>
    <pageSetUpPr fitToPage="1"/>
  </sheetPr>
  <sheetViews>
    <sheetView workbookViewId="0">
      <pane xSplit="2" ySplit="1" topLeftCell="C2" activePane="bottomRight" state="frozen"/>
      <selection pane="bottomRight" activeCell="C2" sqref="C2"/>
    </sheetView>
  </sheetViews>
  <sheetFormatPr defaultRowHeight="15"/>
  <cols>
    <col min="1" max="1" width="16" customWidth="1"/>
    <col min="2" max="2" width="34" customWidth="1"/>
    <col min="3" max="3" width="40" customWidth="1"/>
    <col min="4" max="4" width="40" customWidth="1"/>
    <col min="5" max="5" width="40" customWidth="1"/>
    <col min="6" max="6" width="36" customWidth="1"/>
    <col min="7" max="7" width="12" customWidth="1"/>
    <col min="8" max="8" width="12" customWidth="1"/>
    <col min="9" max="9" width="12" customWidth="1"/>
    <col min="10" max="10" width="34" customWidth="1"/>
  </cols>
  <sheetData>
    <row r="1" ht="32" customHeight="1">
      <c r="A1" s="1" t="inlineStr">
        <is>
          <t xml:space="preserve">Dimension</t>
        </is>
      </c>
      <c r="B1" s="1" t="inlineStr">
        <is>
          <t xml:space="preserve">Criterion</t>
        </is>
      </c>
      <c r="C1" s="1" t="inlineStr">
        <is>
          <t xml:space="preserve">Why it matters</t>
        </is>
      </c>
      <c r="D1" s="1" t="inlineStr">
        <is>
          <t xml:space="preserve">What to ask</t>
        </is>
      </c>
      <c r="E1" s="1" t="inlineStr">
        <is>
          <t xml:space="preserve">Evidence to request</t>
        </is>
      </c>
      <c r="F1" s="1" t="inlineStr">
        <is>
          <t xml:space="preserve">What a weak answer looks like</t>
        </is>
      </c>
      <c r="G1" s="1" t="inlineStr">
        <is>
          <t xml:space="preserve">Priority: Machine builder</t>
        </is>
      </c>
      <c r="H1" s="1" t="inlineStr">
        <is>
          <t xml:space="preserve">Priority: Operator</t>
        </is>
      </c>
      <c r="I1" s="1" t="inlineStr">
        <is>
          <t xml:space="preserve">Priority: Integrator</t>
        </is>
      </c>
      <c r="J1" s="1" t="inlineStr">
        <is>
          <t xml:space="preserve">Your requirement</t>
        </is>
      </c>
    </row>
    <row r="2">
      <c r="A2" s="11" t="inlineStr">
        <is>
          <t xml:space="preserve">Identity</t>
        </is>
      </c>
      <c r="B2" s="11" t="inlineStr">
        <is>
          <t xml:space="preserve">Whether multi-factor authentication is required</t>
        </is>
      </c>
      <c r="C2" s="10" t="inlineStr">
        <is>
          <t xml:space="preserve">A password alone is one of the most commonly exploited single points of failure.</t>
        </is>
      </c>
      <c r="D2" s="10" t="inlineStr">
        <is>
          <t xml:space="preserve">Is MFA mandatory for every connection, or optional and up to us?</t>
        </is>
      </c>
      <c r="E2" s="10" t="inlineStr">
        <is>
          <t xml:space="preserve">Configuration showing a second factor enforced for every account, supplier accounts included, with no per-user opt-out.</t>
        </is>
      </c>
      <c r="F2" s="10" t="inlineStr">
        <is>
          <t xml:space="preserve">MFA is available but optional, or enforced only for administrators.</t>
        </is>
      </c>
      <c r="G2" s="6" t="inlineStr">
        <is>
          <t xml:space="preserve">Must</t>
        </is>
      </c>
      <c r="H2" s="6" t="inlineStr">
        <is>
          <t xml:space="preserve">Must</t>
        </is>
      </c>
      <c r="I2" s="6" t="inlineStr">
        <is>
          <t xml:space="preserve">Must</t>
        </is>
      </c>
      <c r="J2" s="6"/>
    </row>
    <row r="3">
      <c r="A3" s="11" t="inlineStr">
        <is>
          <t xml:space="preserve">Identity</t>
        </is>
      </c>
      <c r="B3" s="11" t="inlineStr">
        <is>
          <t xml:space="preserve">Whether accounts are named to a person or shared</t>
        </is>
      </c>
      <c r="C3" s="10" t="inlineStr">
        <is>
          <t xml:space="preserve">Shared accounts make it impossible to trace who actually connected.</t>
        </is>
      </c>
      <c r="D3" s="10" t="inlineStr">
        <is>
          <t xml:space="preserve">Can two engineers share one login, or is every account tied to a named person?</t>
        </is>
      </c>
      <c r="E3" s="10" t="inlineStr">
        <is>
          <t xml:space="preserve">The user list of a live or test tenant, showing one account per person.</t>
        </is>
      </c>
      <c r="F3" s="10" t="inlineStr">
        <is>
          <t xml:space="preserve">One login per customer or per team, or accounts that are named but shared in practice.</t>
        </is>
      </c>
      <c r="G3" s="6" t="inlineStr">
        <is>
          <t xml:space="preserve">Must</t>
        </is>
      </c>
      <c r="H3" s="6" t="inlineStr">
        <is>
          <t xml:space="preserve">Must</t>
        </is>
      </c>
      <c r="I3" s="6" t="inlineStr">
        <is>
          <t xml:space="preserve">Must</t>
        </is>
      </c>
      <c r="J3" s="6"/>
    </row>
    <row r="4">
      <c r="A4" s="11" t="inlineStr">
        <is>
          <t xml:space="preserve">Identity</t>
        </is>
      </c>
      <c r="B4" s="11" t="inlineStr">
        <is>
          <t xml:space="preserve">Whether it connects to an existing identity provider</t>
        </is>
      </c>
      <c r="C4" s="10" t="inlineStr">
        <is>
          <t xml:space="preserve">A separate set of accounts is another thing to manage, and another thing that can be forgotten when someone leaves.</t>
        </is>
      </c>
      <c r="D4" s="10" t="inlineStr">
        <is>
          <t xml:space="preserve">Can this use an existing single sign-on, or does it need its own separate accounts?</t>
        </is>
      </c>
      <c r="E4" s="10" t="inlineStr">
        <is>
          <t xml:space="preserve">The list of supported identity providers, and a login through one of them in the demo.</t>
        </is>
      </c>
      <c r="F4" s="10" t="inlineStr">
        <is>
          <t xml:space="preserve">Only local accounts kept inside the tool, with no link to anyone's leaver process.</t>
        </is>
      </c>
      <c r="G4" s="6" t="inlineStr">
        <is>
          <t xml:space="preserve">Should</t>
        </is>
      </c>
      <c r="H4" s="6" t="inlineStr">
        <is>
          <t xml:space="preserve">Should</t>
        </is>
      </c>
      <c r="I4" s="6" t="inlineStr">
        <is>
          <t xml:space="preserve">Should</t>
        </is>
      </c>
      <c r="J4" s="6"/>
    </row>
    <row r="5">
      <c r="A5" s="11" t="inlineStr">
        <is>
          <t xml:space="preserve">Scope</t>
        </is>
      </c>
      <c r="B5" s="11" t="inlineStr">
        <is>
          <t xml:space="preserve">How access can be scoped</t>
        </is>
      </c>
      <c r="C5" s="10" t="inlineStr">
        <is>
          <t xml:space="preserve">A connection that reaches more than it needs to widens what a single compromised session could expose.</t>
        </is>
      </c>
      <c r="D5" s="10" t="inlineStr">
        <is>
          <t xml:space="preserve">Can access be scoped to one machine, or does it always reach more of the network?</t>
        </is>
      </c>
      <c r="E5" s="10" t="inlineStr">
        <is>
          <t xml:space="preserve">A demo where a user limited to one machine cannot reach a second machine on the same network.</t>
        </is>
      </c>
      <c r="F5" s="10" t="inlineStr">
        <is>
          <t xml:space="preserve">Access is to the whole site network, and narrowing it is left to the customer's firewall.</t>
        </is>
      </c>
      <c r="G5" s="6" t="inlineStr">
        <is>
          <t xml:space="preserve">Must</t>
        </is>
      </c>
      <c r="H5" s="6" t="inlineStr">
        <is>
          <t xml:space="preserve">Must</t>
        </is>
      </c>
      <c r="I5" s="6" t="inlineStr">
        <is>
          <t xml:space="preserve">Must</t>
        </is>
      </c>
      <c r="J5" s="6"/>
    </row>
    <row r="6">
      <c r="A6" s="11" t="inlineStr">
        <is>
          <t xml:space="preserve">Scope</t>
        </is>
      </c>
      <c r="B6" s="11" t="inlineStr">
        <is>
          <t xml:space="preserve">How access across different customers is kept separate</t>
        </is>
      </c>
      <c r="C6" s="10" t="inlineStr">
        <is>
          <t xml:space="preserve">A mistake that lets one customer's session reach another's systems is a serious failure, not a minor one.</t>
        </is>
      </c>
      <c r="D6" s="10" t="inlineStr">
        <is>
          <t xml:space="preserve">How is one customer's access kept completely separate from another's?</t>
        </is>
      </c>
      <c r="E6" s="10" t="inlineStr">
        <is>
          <t xml:space="preserve">A description of how tenants are separated, and a demo that a user of one customer sees nothing of another.</t>
        </is>
      </c>
      <c r="F6" s="10" t="inlineStr">
        <is>
          <t xml:space="preserve">Separation relies on naming conventions, or on technicians picking the right entry from one list.</t>
        </is>
      </c>
      <c r="G6" s="6" t="inlineStr">
        <is>
          <t xml:space="preserve">Must</t>
        </is>
      </c>
      <c r="H6" s="6" t="inlineStr">
        <is>
          <t xml:space="preserve">Must</t>
        </is>
      </c>
      <c r="I6" s="6" t="inlineStr">
        <is>
          <t xml:space="preserve">Must</t>
        </is>
      </c>
      <c r="J6" s="6"/>
    </row>
    <row r="7">
      <c r="A7" s="11" t="inlineStr">
        <is>
          <t xml:space="preserve">Scope</t>
        </is>
      </c>
      <c r="B7" s="11" t="inlineStr">
        <is>
          <t xml:space="preserve">Whether file transfer and program changes through the connection can be restricted and logged</t>
        </is>
      </c>
      <c r="C7" s="10" t="inlineStr">
        <is>
          <t xml:space="preserve">A session that can move files or change a controller program can change how the machine behaves, which is more than looking at it.</t>
        </is>
      </c>
      <c r="D7" s="10" t="inlineStr">
        <is>
          <t xml:space="preserve">Can file transfer and program changes be switched off per user or per machine, and is each one recorded?</t>
        </is>
      </c>
      <c r="E7" s="10" t="inlineStr">
        <is>
          <t xml:space="preserve">A demo of a blocked file transfer, and the log entry for one that was allowed.</t>
        </is>
      </c>
      <c r="F7" s="10" t="inlineStr">
        <is>
          <t xml:space="preserve">File transfer is on or off for everyone, or transfers are not recorded.</t>
        </is>
      </c>
      <c r="G7" s="6" t="inlineStr">
        <is>
          <t xml:space="preserve">Must</t>
        </is>
      </c>
      <c r="H7" s="6" t="inlineStr">
        <is>
          <t xml:space="preserve">Must</t>
        </is>
      </c>
      <c r="I7" s="6" t="inlineStr">
        <is>
          <t xml:space="preserve">Must</t>
        </is>
      </c>
      <c r="J7" s="6"/>
    </row>
    <row r="8">
      <c r="A8" s="11" t="inlineStr">
        <is>
          <t xml:space="preserve">Scope</t>
        </is>
      </c>
      <c r="B8" s="11" t="inlineStr">
        <is>
          <t xml:space="preserve">What has to be installed on the machine itself</t>
        </is>
      </c>
      <c r="C8" s="10" t="inlineStr">
        <is>
          <t xml:space="preserve">Anything added to the machine is something that has to be maintained for the life of that machine.</t>
        </is>
      </c>
      <c r="D8" s="10" t="inlineStr">
        <is>
          <t xml:space="preserve">What software or hardware has to be added to the machine, and who maintains it?</t>
        </is>
      </c>
      <c r="E8" s="10" t="inlineStr">
        <is>
          <t xml:space="preserve">A list of what is installed on or next to the machine, and who patches it for the machine's life.</t>
        </is>
      </c>
      <c r="F8" s="10" t="inlineStr">
        <is>
          <t xml:space="preserve">An agent or a box is required, and nobody commits to keeping it updated.</t>
        </is>
      </c>
      <c r="G8" s="6" t="inlineStr">
        <is>
          <t xml:space="preserve">Should</t>
        </is>
      </c>
      <c r="H8" s="6" t="inlineStr">
        <is>
          <t xml:space="preserve">Must</t>
        </is>
      </c>
      <c r="I8" s="6" t="inlineStr">
        <is>
          <t xml:space="preserve">Should</t>
        </is>
      </c>
      <c r="J8" s="6"/>
    </row>
    <row r="9">
      <c r="A9" s="11" t="inlineStr">
        <is>
          <t xml:space="preserve">Lifecycle</t>
        </is>
      </c>
      <c r="B9" s="11" t="inlineStr">
        <is>
          <t xml:space="preserve">Whether all access paths are inventoried and owned</t>
        </is>
      </c>
      <c r="C9" s="10" t="inlineStr">
        <is>
          <t xml:space="preserve">A path nobody knows about is a path nobody removes.</t>
        </is>
      </c>
      <c r="D9" s="10" t="inlineStr">
        <is>
          <t xml:space="preserve">Can we list every remote path to our machines through this, with an owner for each, and export that list?</t>
        </is>
      </c>
      <c r="E9" s="10" t="inlineStr">
        <is>
          <t xml:space="preserve">An exported list of users, machines and connections, with an owner for each.</t>
        </is>
      </c>
      <c r="F9" s="10" t="inlineStr">
        <is>
          <t xml:space="preserve">The list exists only inside the vendor's support team, or only machine by machine.</t>
        </is>
      </c>
      <c r="G9" s="6" t="inlineStr">
        <is>
          <t xml:space="preserve">Must</t>
        </is>
      </c>
      <c r="H9" s="6" t="inlineStr">
        <is>
          <t xml:space="preserve">Must</t>
        </is>
      </c>
      <c r="I9" s="6" t="inlineStr">
        <is>
          <t xml:space="preserve">Must</t>
        </is>
      </c>
      <c r="J9" s="6"/>
    </row>
    <row r="10">
      <c r="A10" s="11" t="inlineStr">
        <is>
          <t xml:space="preserve">Lifecycle</t>
        </is>
      </c>
      <c r="B10" s="11" t="inlineStr">
        <is>
          <t xml:space="preserve">How access is granted and revoked</t>
        </is>
      </c>
      <c r="C10" s="10" t="inlineStr">
        <is>
          <t xml:space="preserve">Access that's slow to remove is access that outlives the reason it was given.</t>
        </is>
      </c>
      <c r="D10" s="10" t="inlineStr">
        <is>
          <t xml:space="preserve">How is access granted for a new engineer, and how quickly can it be revoked?</t>
        </is>
      </c>
      <c r="E10" s="10" t="inlineStr">
        <is>
          <t xml:space="preserve">A demo of granting access to a new engineer and revoking it, timed.</t>
        </is>
      </c>
      <c r="F10" s="10" t="inlineStr">
        <is>
          <t xml:space="preserve">Revocation is a ticket to the vendor's support desk.</t>
        </is>
      </c>
      <c r="G10" s="6" t="inlineStr">
        <is>
          <t xml:space="preserve">Must</t>
        </is>
      </c>
      <c r="H10" s="6" t="inlineStr">
        <is>
          <t xml:space="preserve">Must</t>
        </is>
      </c>
      <c r="I10" s="6" t="inlineStr">
        <is>
          <t xml:space="preserve">Must</t>
        </is>
      </c>
      <c r="J10" s="6"/>
    </row>
    <row r="11">
      <c r="A11" s="11" t="inlineStr">
        <is>
          <t xml:space="preserve">Lifecycle</t>
        </is>
      </c>
      <c r="B11" s="11" t="inlineStr">
        <is>
          <t xml:space="preserve">Whether a departing engineer can be removed end to end</t>
        </is>
      </c>
      <c r="C11" s="10" t="inlineStr">
        <is>
          <t xml:space="preserve">A leaver who keeps a working account, a saved credential or a device that still connects keeps access nobody intended.</t>
        </is>
      </c>
      <c r="D11" s="10" t="inlineStr">
        <is>
          <t xml:space="preserve">When an engineer leaves, what has to be done to remove every way they could connect, and who does it?</t>
        </is>
      </c>
      <c r="E11" s="10" t="inlineStr">
        <is>
          <t xml:space="preserve">A written leaver procedure, and a demo of removing one user from every site at once.</t>
        </is>
      </c>
      <c r="F11" s="10" t="inlineStr">
        <is>
          <t xml:space="preserve">Removal is repeated site by site, or depends on the engineer's employer remembering to tell someone.</t>
        </is>
      </c>
      <c r="G11" s="6" t="inlineStr">
        <is>
          <t xml:space="preserve">Must</t>
        </is>
      </c>
      <c r="H11" s="6" t="inlineStr">
        <is>
          <t xml:space="preserve">Must</t>
        </is>
      </c>
      <c r="I11" s="6" t="inlineStr">
        <is>
          <t xml:space="preserve">Must</t>
        </is>
      </c>
      <c r="J11" s="6"/>
    </row>
    <row r="12">
      <c r="A12" s="11" t="inlineStr">
        <is>
          <t xml:space="preserve">Lifecycle</t>
        </is>
      </c>
      <c r="B12" s="11" t="inlineStr">
        <is>
          <t xml:space="preserve">Whether the customer can pause or revoke access without help</t>
        </is>
      </c>
      <c r="C12" s="10" t="inlineStr">
        <is>
          <t xml:space="preserve">Depending on the vendor to remove access adds a delay a customer may not be able to accept during an incident.</t>
        </is>
      </c>
      <c r="D12" s="10" t="inlineStr">
        <is>
          <t xml:space="preserve">Can the customer switch off access themselves, without contacting us first?</t>
        </is>
      </c>
      <c r="E12" s="10" t="inlineStr">
        <is>
          <t xml:space="preserve">A demo of the customer switching access off from their own side.</t>
        </is>
      </c>
      <c r="F12" s="10" t="inlineStr">
        <is>
          <t xml:space="preserve">The customer has to call the vendor or the machine builder to switch access off.</t>
        </is>
      </c>
      <c r="G12" s="6" t="inlineStr">
        <is>
          <t xml:space="preserve">Must</t>
        </is>
      </c>
      <c r="H12" s="6" t="inlineStr">
        <is>
          <t xml:space="preserve">Must</t>
        </is>
      </c>
      <c r="I12" s="6" t="inlineStr">
        <is>
          <t xml:space="preserve">Must</t>
        </is>
      </c>
      <c r="J12" s="6"/>
    </row>
    <row r="13">
      <c r="A13" s="11" t="inlineStr">
        <is>
          <t xml:space="preserve">Lifecycle</t>
        </is>
      </c>
      <c r="B13" s="11" t="inlineStr">
        <is>
          <t xml:space="preserve">Whether the customer can see who currently has access</t>
        </is>
      </c>
      <c r="C13" s="10" t="inlineStr">
        <is>
          <t xml:space="preserve">A customer's own security review depends on being able to see this themselves, not just take a vendor's word for it.</t>
        </is>
      </c>
      <c r="D13" s="10" t="inlineStr">
        <is>
          <t xml:space="preserve">Can the customer see, in real time, exactly who currently has access?</t>
        </is>
      </c>
      <c r="E13" s="10" t="inlineStr">
        <is>
          <t xml:space="preserve">The customer-side view of current users and sessions, shown live.</t>
        </is>
      </c>
      <c r="F13" s="10" t="inlineStr">
        <is>
          <t xml:space="preserve">Visibility only through a report the vendor sends on request.</t>
        </is>
      </c>
      <c r="G13" s="6" t="inlineStr">
        <is>
          <t xml:space="preserve">Should</t>
        </is>
      </c>
      <c r="H13" s="6" t="inlineStr">
        <is>
          <t xml:space="preserve">Must</t>
        </is>
      </c>
      <c r="I13" s="6" t="inlineStr">
        <is>
          <t xml:space="preserve">Should</t>
        </is>
      </c>
      <c r="J13" s="6"/>
    </row>
    <row r="14">
      <c r="A14" s="11" t="inlineStr">
        <is>
          <t xml:space="preserve">Evidence</t>
        </is>
      </c>
      <c r="B14" s="11" t="inlineStr">
        <is>
          <t xml:space="preserve">What a session log actually captures</t>
        </is>
      </c>
      <c r="C14" s="10" t="inlineStr">
        <is>
          <t xml:space="preserve">Logs are the main way an incident gets reconstructed after the fact, if they capture enough to be useful.</t>
        </is>
      </c>
      <c r="D14" s="10" t="inlineStr">
        <is>
          <t xml:space="preserve">What does the session log capture: keystrokes, a screen recording, or just connection times?</t>
        </is>
      </c>
      <c r="E14" s="10" t="inlineStr">
        <is>
          <t xml:space="preserve">A sample session log from the demo, and a recording if one is offered.</t>
        </is>
      </c>
      <c r="F14" s="10" t="inlineStr">
        <is>
          <t xml:space="preserve">Only connection start and end times.</t>
        </is>
      </c>
      <c r="G14" s="6" t="inlineStr">
        <is>
          <t xml:space="preserve">Must</t>
        </is>
      </c>
      <c r="H14" s="6" t="inlineStr">
        <is>
          <t xml:space="preserve">Must</t>
        </is>
      </c>
      <c r="I14" s="6" t="inlineStr">
        <is>
          <t xml:space="preserve">Must</t>
        </is>
      </c>
      <c r="J14" s="6"/>
    </row>
    <row r="15">
      <c r="A15" s="11" t="inlineStr">
        <is>
          <t xml:space="preserve">Evidence</t>
        </is>
      </c>
      <c r="B15" s="11" t="inlineStr">
        <is>
          <t xml:space="preserve">How long logs are kept, and who can export them</t>
        </is>
      </c>
      <c r="C15" s="10" t="inlineStr">
        <is>
          <t xml:space="preserve">A log that's deleted too soon, or that only the vendor can see, limits what it's actually worth as evidence.</t>
        </is>
      </c>
      <c r="D15" s="10" t="inlineStr">
        <is>
          <t xml:space="preserve">How long are logs retained, and can we export our own copy?</t>
        </is>
      </c>
      <c r="E15" s="10" t="inlineStr">
        <is>
          <t xml:space="preserve">The retention period in writing, and an export done during the demo.</t>
        </is>
      </c>
      <c r="F15" s="10" t="inlineStr">
        <is>
          <t xml:space="preserve">Retention is not stated, or only the vendor can export.</t>
        </is>
      </c>
      <c r="G15" s="6" t="inlineStr">
        <is>
          <t xml:space="preserve">Must</t>
        </is>
      </c>
      <c r="H15" s="6" t="inlineStr">
        <is>
          <t xml:space="preserve">Must</t>
        </is>
      </c>
      <c r="I15" s="6" t="inlineStr">
        <is>
          <t xml:space="preserve">Must</t>
        </is>
      </c>
      <c r="J15" s="6"/>
    </row>
    <row r="16">
      <c r="A16" s="11" t="inlineStr">
        <is>
          <t xml:space="preserve">Evidence</t>
        </is>
      </c>
      <c r="B16" s="11" t="inlineStr">
        <is>
          <t xml:space="preserve">Whether session data can feed existing monitoring tools</t>
        </is>
      </c>
      <c r="C16" s="10" t="inlineStr">
        <is>
          <t xml:space="preserve">Logs that stay siloed in one tool are less likely to actually get reviewed alongside everything else.</t>
        </is>
      </c>
      <c r="D16" s="10" t="inlineStr">
        <is>
          <t xml:space="preserve">Can session and log data be exported into the monitoring tools already in use?</t>
        </is>
      </c>
      <c r="E16" s="10" t="inlineStr">
        <is>
          <t xml:space="preserve">Documentation of the export format or interface, and a working export.</t>
        </is>
      </c>
      <c r="F16" s="10" t="inlineStr">
        <is>
          <t xml:space="preserve">Export only as a manual download, or not at all.</t>
        </is>
      </c>
      <c r="G16" s="6" t="inlineStr">
        <is>
          <t xml:space="preserve">Should</t>
        </is>
      </c>
      <c r="H16" s="6" t="inlineStr">
        <is>
          <t xml:space="preserve">Should</t>
        </is>
      </c>
      <c r="I16" s="6" t="inlineStr">
        <is>
          <t xml:space="preserve">Should</t>
        </is>
      </c>
      <c r="J16" s="6"/>
    </row>
    <row r="17">
      <c r="A17" s="11" t="inlineStr">
        <is>
          <t xml:space="preserve">Evidence</t>
        </is>
      </c>
      <c r="B17" s="11" t="inlineStr">
        <is>
          <t xml:space="preserve">Whether logs and configuration can be exported if switching providers</t>
        </is>
      </c>
      <c r="C17" s="10" t="inlineStr">
        <is>
          <t xml:space="preserve">Being unable to take your own records with you is a real cost of switching later, worth knowing up front.</t>
        </is>
      </c>
      <c r="D17" s="10" t="inlineStr">
        <is>
          <t xml:space="preserve">If this is stopped, can the logs and configuration be exported, or are they locked in?</t>
        </is>
      </c>
      <c r="E17" s="10" t="inlineStr">
        <is>
          <t xml:space="preserve">An export of logs and configuration in a documented format that can be read without the tool.</t>
        </is>
      </c>
      <c r="F17" s="10" t="inlineStr">
        <is>
          <t xml:space="preserve">Data is available only while the contract runs.</t>
        </is>
      </c>
      <c r="G17" s="6" t="inlineStr">
        <is>
          <t xml:space="preserve">Should</t>
        </is>
      </c>
      <c r="H17" s="6" t="inlineStr">
        <is>
          <t xml:space="preserve">Should</t>
        </is>
      </c>
      <c r="I17" s="6" t="inlineStr">
        <is>
          <t xml:space="preserve">Should</t>
        </is>
      </c>
      <c r="J17" s="6"/>
    </row>
    <row r="18">
      <c r="A18" s="11" t="inlineStr">
        <is>
          <t xml:space="preserve">Availability</t>
        </is>
      </c>
      <c r="B18" s="11" t="inlineStr">
        <is>
          <t xml:space="preserve">Whether a session needs approval before it starts</t>
        </is>
      </c>
      <c r="C18" s="10" t="inlineStr">
        <is>
          <t xml:space="preserve">Approval turns standing access into access that exists only when someone at the plant has agreed to it.</t>
        </is>
      </c>
      <c r="D18" s="10" t="inlineStr">
        <is>
          <t xml:space="preserve">Can a session be set to wait for approval from someone at the plant, and is that approval recorded?</t>
        </is>
      </c>
      <c r="E18" s="10" t="inlineStr">
        <is>
          <t xml:space="preserve">A demo of a session request waiting for approval, and the record of who approved it and when.</t>
        </is>
      </c>
      <c r="F18" s="10" t="inlineStr">
        <is>
          <t xml:space="preserve">Approval is a phone call outside the tool, with nothing recorded.</t>
        </is>
      </c>
      <c r="G18" s="6" t="inlineStr">
        <is>
          <t xml:space="preserve">Should</t>
        </is>
      </c>
      <c r="H18" s="6" t="inlineStr">
        <is>
          <t xml:space="preserve">Must</t>
        </is>
      </c>
      <c r="I18" s="6" t="inlineStr">
        <is>
          <t xml:space="preserve">Should</t>
        </is>
      </c>
      <c r="J18" s="6"/>
    </row>
    <row r="19">
      <c r="A19" s="11" t="inlineStr">
        <is>
          <t xml:space="preserve">Availability</t>
        </is>
      </c>
      <c r="B19" s="11" t="inlineStr">
        <is>
          <t xml:space="preserve">Who can start and stop a session</t>
        </is>
      </c>
      <c r="C19" s="10" t="inlineStr">
        <is>
          <t xml:space="preserve">Customers increasingly expect to control a session they're exposed to, not just the vendor.</t>
        </is>
      </c>
      <c r="D19" s="10" t="inlineStr">
        <is>
          <t xml:space="preserve">Can the customer end an active session themselves, at any time?</t>
        </is>
      </c>
      <c r="E19" s="10" t="inlineStr">
        <is>
          <t xml:space="preserve">A demo of the customer ending an active session.</t>
        </is>
      </c>
      <c r="F19" s="10" t="inlineStr">
        <is>
          <t xml:space="preserve">Only the technician can end a session.</t>
        </is>
      </c>
      <c r="G19" s="6" t="inlineStr">
        <is>
          <t xml:space="preserve">Must</t>
        </is>
      </c>
      <c r="H19" s="6" t="inlineStr">
        <is>
          <t xml:space="preserve">Must</t>
        </is>
      </c>
      <c r="I19" s="6" t="inlineStr">
        <is>
          <t xml:space="preserve">Must</t>
        </is>
      </c>
      <c r="J19" s="6"/>
    </row>
    <row r="20">
      <c r="A20" s="11" t="inlineStr">
        <is>
          <t xml:space="preserve">Availability</t>
        </is>
      </c>
      <c r="B20" s="11" t="inlineStr">
        <is>
          <t xml:space="preserve">Whether sessions time out automatically</t>
        </is>
      </c>
      <c r="C20" s="10" t="inlineStr">
        <is>
          <t xml:space="preserve">A session left open after the work is done is exposure with no offsetting benefit.</t>
        </is>
      </c>
      <c r="D20" s="10" t="inlineStr">
        <is>
          <t xml:space="preserve">Does an idle session close itself, and after how long?</t>
        </is>
      </c>
      <c r="E20" s="10" t="inlineStr">
        <is>
          <t xml:space="preserve">The timeout setting, and an idle session closing during the demo.</t>
        </is>
      </c>
      <c r="F20" s="10" t="inlineStr">
        <is>
          <t xml:space="preserve">Sessions stay open until someone closes them.</t>
        </is>
      </c>
      <c r="G20" s="6" t="inlineStr">
        <is>
          <t xml:space="preserve">Should</t>
        </is>
      </c>
      <c r="H20" s="6" t="inlineStr">
        <is>
          <t xml:space="preserve">Should</t>
        </is>
      </c>
      <c r="I20" s="6" t="inlineStr">
        <is>
          <t xml:space="preserve">Should</t>
        </is>
      </c>
      <c r="J20" s="6"/>
    </row>
    <row r="21">
      <c r="A21" s="11" t="inlineStr">
        <is>
          <t xml:space="preserve">Availability</t>
        </is>
      </c>
      <c r="B21" s="11" t="inlineStr">
        <is>
          <t xml:space="preserve">Whether emergency (break-glass) access has an approval and an end time</t>
        </is>
      </c>
      <c r="C21" s="10" t="inlineStr">
        <is>
          <t xml:space="preserve">Urgent repairs are when shortcuts get taken, so the emergency path needs its own controls rather than none.</t>
        </is>
      </c>
      <c r="D21" s="10" t="inlineStr">
        <is>
          <t xml:space="preserve">How does emergency access work out of hours: who approves it, when does it end, and how is it recorded?</t>
        </is>
      </c>
      <c r="E21" s="10" t="inlineStr">
        <is>
          <t xml:space="preserve">A demo of emergency access being granted, ending at the set time on its own, and appearing in the log.</t>
        </is>
      </c>
      <c r="F21" s="10" t="inlineStr">
        <is>
          <t xml:space="preserve">Emergency access is a standing account kept aside for urgent cases.</t>
        </is>
      </c>
      <c r="G21" s="6" t="inlineStr">
        <is>
          <t xml:space="preserve">Must</t>
        </is>
      </c>
      <c r="H21" s="6" t="inlineStr">
        <is>
          <t xml:space="preserve">Must</t>
        </is>
      </c>
      <c r="I21" s="6" t="inlineStr">
        <is>
          <t xml:space="preserve">Should</t>
        </is>
      </c>
      <c r="J21" s="6"/>
    </row>
    <row r="22">
      <c r="A22" s="11" t="inlineStr">
        <is>
          <t xml:space="preserve">Availability</t>
        </is>
      </c>
      <c r="B22" s="11" t="inlineStr">
        <is>
          <t xml:space="preserve">How it behaves on a poor or intermittent connection</t>
        </is>
      </c>
      <c r="C22" s="10" t="inlineStr">
        <is>
          <t xml:space="preserve">Many industrial sites don't have office-grade connectivity, and a tool that assumes they do fails exactly where it's needed most.</t>
        </is>
      </c>
      <c r="D22" s="10" t="inlineStr">
        <is>
          <t xml:space="preserve">What happens to an active session if the connection drops, and does it work at all on a low-bandwidth link?</t>
        </is>
      </c>
      <c r="E22" s="10" t="inlineStr">
        <is>
          <t xml:space="preserve">A demo on a throttled or interrupted link.</t>
        </is>
      </c>
      <c r="F22" s="10" t="inlineStr">
        <is>
          <t xml:space="preserve">Behaviour on poor links is untested or not documented.</t>
        </is>
      </c>
      <c r="G22" s="6" t="inlineStr">
        <is>
          <t xml:space="preserve">Should</t>
        </is>
      </c>
      <c r="H22" s="6" t="inlineStr">
        <is>
          <t xml:space="preserve">Should</t>
        </is>
      </c>
      <c r="I22" s="6" t="inlineStr">
        <is>
          <t xml:space="preserve">Should</t>
        </is>
      </c>
      <c r="J22" s="6"/>
    </row>
    <row r="23">
      <c r="A23" s="11" t="inlineStr">
        <is>
          <t xml:space="preserve">Availability</t>
        </is>
      </c>
      <c r="B23" s="11" t="inlineStr">
        <is>
          <t xml:space="preserve">How it behaves when the platform, cloud or identity service is unavailable</t>
        </is>
      </c>
      <c r="C23" s="10" t="inlineStr">
        <is>
          <t xml:space="preserve">If remote access depends on a service outside the plant, an outage there can block an urgent repair or leave open sessions in an unknown state.</t>
        </is>
      </c>
      <c r="D23" s="10" t="inlineStr">
        <is>
          <t xml:space="preserve">If your cloud service or our identity provider is down, can anyone still connect, and what happens to sessions already open?</t>
        </is>
      </c>
      <c r="E23" s="10" t="inlineStr">
        <is>
          <t xml:space="preserve">Documented outage behaviour, and any local fallback with how it is controlled and recorded.</t>
        </is>
      </c>
      <c r="F23" s="10" t="inlineStr">
        <is>
          <t xml:space="preserve">No answer, or a fallback that skips the normal controls and leaves no record.</t>
        </is>
      </c>
      <c r="G23" s="6" t="inlineStr">
        <is>
          <t xml:space="preserve">Must</t>
        </is>
      </c>
      <c r="H23" s="6" t="inlineStr">
        <is>
          <t xml:space="preserve">Should</t>
        </is>
      </c>
      <c r="I23" s="6" t="inlineStr">
        <is>
          <t xml:space="preserve">Should</t>
        </is>
      </c>
      <c r="J23" s="6"/>
    </row>
    <row r="24">
      <c r="A24" s="11" t="inlineStr">
        <is>
          <t xml:space="preserve">Fit and commercial</t>
        </is>
      </c>
      <c r="B24" s="11" t="inlineStr">
        <is>
          <t xml:space="preserve">Whether it runs on-premises, in the cloud, or both</t>
        </is>
      </c>
      <c r="C24" s="10" t="inlineStr">
        <is>
          <t xml:space="preserve">Where the system runs affects what data leaves the customer's own environment and who else can see it.</t>
        </is>
      </c>
      <c r="D24" s="10" t="inlineStr">
        <is>
          <t xml:space="preserve">Can this run entirely within our own network, or does it require a cloud component?</t>
        </is>
      </c>
      <c r="E24" s="10" t="inlineStr">
        <is>
          <t xml:space="preserve">An architecture diagram showing which components run where.</t>
        </is>
      </c>
      <c r="F24" s="10" t="inlineStr">
        <is>
          <t xml:space="preserve">A cloud component is required but does not appear in the architecture shown.</t>
        </is>
      </c>
      <c r="G24" s="6" t="inlineStr">
        <is>
          <t xml:space="preserve">Should</t>
        </is>
      </c>
      <c r="H24" s="6" t="inlineStr">
        <is>
          <t xml:space="preserve">Must</t>
        </is>
      </c>
      <c r="I24" s="6" t="inlineStr">
        <is>
          <t xml:space="preserve">Should</t>
        </is>
      </c>
      <c r="J24" s="6"/>
    </row>
    <row r="25">
      <c r="A25" s="11" t="inlineStr">
        <is>
          <t xml:space="preserve">Fit and commercial</t>
        </is>
      </c>
      <c r="B25" s="11" t="inlineStr">
        <is>
          <t xml:space="preserve">Which industrial protocols and device types are supported</t>
        </is>
      </c>
      <c r="C25" s="10" t="inlineStr">
        <is>
          <t xml:space="preserve">A tool that doesn't speak the protocols already in use adds a second system to maintain instead of replacing one.</t>
        </is>
      </c>
      <c r="D25" s="10" t="inlineStr">
        <is>
          <t xml:space="preserve">Which protocols and controller types does this actually support today, not on a future roadmap?</t>
        </is>
      </c>
      <c r="E25" s="10" t="inlineStr">
        <is>
          <t xml:space="preserve">A list of supported protocols and controller types, and a test on your own equipment.</t>
        </is>
      </c>
      <c r="F25" s="10" t="inlineStr">
        <is>
          <t xml:space="preserve">"Most protocols", with no list.</t>
        </is>
      </c>
      <c r="G25" s="6" t="inlineStr">
        <is>
          <t xml:space="preserve">Must</t>
        </is>
      </c>
      <c r="H25" s="6" t="inlineStr">
        <is>
          <t xml:space="preserve">Should</t>
        </is>
      </c>
      <c r="I25" s="6" t="inlineStr">
        <is>
          <t xml:space="preserve">Must</t>
        </is>
      </c>
      <c r="J25" s="6"/>
    </row>
    <row r="26">
      <c r="A26" s="11" t="inlineStr">
        <is>
          <t xml:space="preserve">Fit and commercial</t>
        </is>
      </c>
      <c r="B26" s="11" t="inlineStr">
        <is>
          <t xml:space="preserve">Whether older or legacy equipment is supported</t>
        </is>
      </c>
      <c r="C26" s="10" t="inlineStr">
        <is>
          <t xml:space="preserve">Most fleets include equipment that predates whatever is being evaluated now.</t>
        </is>
      </c>
      <c r="D26" s="10" t="inlineStr">
        <is>
          <t xml:space="preserve">Does this work with the equipment already installed, or only with newer models?</t>
        </is>
      </c>
      <c r="E26" s="10" t="inlineStr">
        <is>
          <t xml:space="preserve">A demo on an older model from your own fleet.</t>
        </is>
      </c>
      <c r="F26" s="10" t="inlineStr">
        <is>
          <t xml:space="preserve">Supported on current models only.</t>
        </is>
      </c>
      <c r="G26" s="6" t="inlineStr">
        <is>
          <t xml:space="preserve">Should</t>
        </is>
      </c>
      <c r="H26" s="6" t="inlineStr">
        <is>
          <t xml:space="preserve">Should</t>
        </is>
      </c>
      <c r="I26" s="6" t="inlineStr">
        <is>
          <t xml:space="preserve">Should</t>
        </is>
      </c>
      <c r="J26" s="6"/>
    </row>
    <row r="27">
      <c r="A27" s="11" t="inlineStr">
        <is>
          <t xml:space="preserve">Fit and commercial</t>
        </is>
      </c>
      <c r="B27" s="11" t="inlineStr">
        <is>
          <t xml:space="preserve">Whether one dashboard can manage access across all customers</t>
        </is>
      </c>
      <c r="C27" s="10" t="inlineStr">
        <is>
          <t xml:space="preserve">Managing access site-by-site, with no unified view, is itself an operational burden worth counting.</t>
        </is>
      </c>
      <c r="D27" s="10" t="inlineStr">
        <is>
          <t xml:space="preserve">Can access across every customer site be seen and managed from one place?</t>
        </is>
      </c>
      <c r="E27" s="10" t="inlineStr">
        <is>
          <t xml:space="preserve">A demo of the view across several customers or sites.</t>
        </is>
      </c>
      <c r="F27" s="10" t="inlineStr">
        <is>
          <t xml:space="preserve">A separate login for every customer site.</t>
        </is>
      </c>
      <c r="G27" s="6" t="inlineStr">
        <is>
          <t xml:space="preserve">Should</t>
        </is>
      </c>
      <c r="H27" s="6" t="inlineStr">
        <is>
          <t xml:space="preserve">Nice</t>
        </is>
      </c>
      <c r="I27" s="6" t="inlineStr">
        <is>
          <t xml:space="preserve">Should</t>
        </is>
      </c>
      <c r="J27" s="6"/>
    </row>
    <row r="28">
      <c r="A28" s="11" t="inlineStr">
        <is>
          <t xml:space="preserve">Fit and commercial</t>
        </is>
      </c>
      <c r="B28" s="11" t="inlineStr">
        <is>
          <t xml:space="preserve">What the customer has to do to get this running</t>
        </is>
      </c>
      <c r="C28" s="10" t="inlineStr">
        <is>
          <t xml:space="preserve">Setup effort is a real cost, especially across many sites, and is worth sizing before committing.</t>
        </is>
      </c>
      <c r="D28" s="10" t="inlineStr">
        <is>
          <t xml:space="preserve">What does the customer actually have to do to get this running at a new site?</t>
        </is>
      </c>
      <c r="E28" s="10" t="inlineStr">
        <is>
          <t xml:space="preserve">A written onboarding checklist for one site.</t>
        </is>
      </c>
      <c r="F28" s="10" t="inlineStr">
        <is>
          <t xml:space="preserve">Customer effort described as minimal, with no list.</t>
        </is>
      </c>
      <c r="G28" s="6" t="inlineStr">
        <is>
          <t xml:space="preserve">Should</t>
        </is>
      </c>
      <c r="H28" s="6" t="inlineStr">
        <is>
          <t xml:space="preserve">Should</t>
        </is>
      </c>
      <c r="I28" s="6" t="inlineStr">
        <is>
          <t xml:space="preserve">Should</t>
        </is>
      </c>
      <c r="J28" s="6"/>
    </row>
    <row r="29">
      <c r="A29" s="11" t="inlineStr">
        <is>
          <t xml:space="preserve">Fit and commercial</t>
        </is>
      </c>
      <c r="B29" s="11" t="inlineStr">
        <is>
          <t xml:space="preserve">How long onboarding typically takes</t>
        </is>
      </c>
      <c r="C29" s="10" t="inlineStr">
        <is>
          <t xml:space="preserve">A rollout across many sites multiplies whatever the per-site setup time turns out to be.</t>
        </is>
      </c>
      <c r="D29" s="10" t="inlineStr">
        <is>
          <t xml:space="preserve">Roughly how long does setup take, from agreement to a first working connection?</t>
        </is>
      </c>
      <c r="E29" s="10" t="inlineStr">
        <is>
          <t xml:space="preserve">A typical timeline for a site of your size, in writing.</t>
        </is>
      </c>
      <c r="F29" s="10" t="inlineStr">
        <is>
          <t xml:space="preserve">No estimate.</t>
        </is>
      </c>
      <c r="G29" s="6" t="inlineStr">
        <is>
          <t xml:space="preserve">Nice</t>
        </is>
      </c>
      <c r="H29" s="6" t="inlineStr">
        <is>
          <t xml:space="preserve">Nice</t>
        </is>
      </c>
      <c r="I29" s="6" t="inlineStr">
        <is>
          <t xml:space="preserve">Nice</t>
        </is>
      </c>
      <c r="J29" s="6"/>
    </row>
    <row r="30">
      <c r="A30" s="11" t="inlineStr">
        <is>
          <t xml:space="preserve">Fit and commercial</t>
        </is>
      </c>
      <c r="B30" s="11" t="inlineStr">
        <is>
          <t xml:space="preserve">What support is available, and where data is processed</t>
        </is>
      </c>
      <c r="C30" s="10" t="inlineStr">
        <is>
          <t xml:space="preserve">Support hours and data location both affect how a problem at 2am, or a data-residency question, actually gets handled.</t>
        </is>
      </c>
      <c r="D30" s="10" t="inlineStr">
        <is>
          <t xml:space="preserve">What hours is support available, in what time zones, and in which countries is data stored and processed?</t>
        </is>
      </c>
      <c r="E30" s="10" t="inlineStr">
        <is>
          <t xml:space="preserve">Support terms stating hours, time zones and data locations.</t>
        </is>
      </c>
      <c r="F30" s="10" t="inlineStr">
        <is>
          <t xml:space="preserve">Data location not stated.</t>
        </is>
      </c>
      <c r="G30" s="6" t="inlineStr">
        <is>
          <t xml:space="preserve">Should</t>
        </is>
      </c>
      <c r="H30" s="6" t="inlineStr">
        <is>
          <t xml:space="preserve">Should</t>
        </is>
      </c>
      <c r="I30" s="6" t="inlineStr">
        <is>
          <t xml:space="preserve">Should</t>
        </is>
      </c>
      <c r="J30" s="6"/>
    </row>
    <row r="31">
      <c r="A31" s="11" t="inlineStr">
        <is>
          <t xml:space="preserve">Fit and commercial</t>
        </is>
      </c>
      <c r="B31" s="11" t="inlineStr">
        <is>
          <t xml:space="preserve">Whether pricing is per user, per site, or per connection</t>
        </is>
      </c>
      <c r="C31" s="10" t="inlineStr">
        <is>
          <t xml:space="preserve">A pricing basis that doesn't match how the tool is actually used tends to surprise everyone once it scales.</t>
        </is>
      </c>
      <c r="D31" s="10" t="inlineStr">
        <is>
          <t xml:space="preserve">Is pricing based on users, sites, machines, or something else, and is that stated plainly?</t>
        </is>
      </c>
      <c r="E31" s="10" t="inlineStr">
        <is>
          <t xml:space="preserve">A written price list that names the pricing unit.</t>
        </is>
      </c>
      <c r="F31" s="10" t="inlineStr">
        <is>
          <t xml:space="preserve">Pricing only on request, deal by deal.</t>
        </is>
      </c>
      <c r="G31" s="6" t="inlineStr">
        <is>
          <t xml:space="preserve">Should</t>
        </is>
      </c>
      <c r="H31" s="6" t="inlineStr">
        <is>
          <t xml:space="preserve">Nice</t>
        </is>
      </c>
      <c r="I31" s="6" t="inlineStr">
        <is>
          <t xml:space="preserve">Should</t>
        </is>
      </c>
      <c r="J31" s="6"/>
    </row>
    <row r="32">
      <c r="A32" s="11" t="inlineStr">
        <is>
          <t xml:space="preserve">Fit and commercial</t>
        </is>
      </c>
      <c r="B32" s="11" t="inlineStr">
        <is>
          <t xml:space="preserve">Whether there are costs beyond the headline price</t>
        </is>
      </c>
      <c r="C32" s="10" t="inlineStr">
        <is>
          <t xml:space="preserve">A quote that omits support, extra users, or extra sites isn't the real cost of running this.</t>
        </is>
      </c>
      <c r="D32" s="10" t="inlineStr">
        <is>
          <t xml:space="preserve">Are there separate costs for support, extra users, or extra sites beyond the quoted price?</t>
        </is>
      </c>
      <c r="E32" s="10" t="inlineStr">
        <is>
          <t xml:space="preserve">A quote that itemises support, extra users and extra sites.</t>
        </is>
      </c>
      <c r="F32" s="10" t="inlineStr">
        <is>
          <t xml:space="preserve">A headline price only.</t>
        </is>
      </c>
      <c r="G32" s="6" t="inlineStr">
        <is>
          <t xml:space="preserve">Should</t>
        </is>
      </c>
      <c r="H32" s="6" t="inlineStr">
        <is>
          <t xml:space="preserve">Should</t>
        </is>
      </c>
      <c r="I32" s="6" t="inlineStr">
        <is>
          <t xml:space="preserve">Should</t>
        </is>
      </c>
      <c r="J32" s="6"/>
    </row>
  </sheetData>
  <autoFilter ref="A1:J32"/>
  <dataValidations count="1">
    <dataValidation type="list" allowBlank="1" showErrorMessage="1" errorTitle="Choose from the list" error="Choose one of: Must, Should, Nice." sqref="G2:I32">
      <formula1>"Must,Should,Nice"</formula1>
    </dataValidation>
  </dataValidations>
  <pageMargins left="0.4" right="0.4" top="0.5" bottom="0.5" header="0.3" footer="0.3"/>
  <pageSetup paperSize="9" orientation="landscape" fitToWidth="1" fitToHeight="0"/>
</worksheet>
</file>

<file path=xl/worksheets/sheet4.xml><?xml version="1.0" encoding="utf-8"?>
<worksheet xmlns="http://schemas.openxmlformats.org/spreadsheetml/2006/main" xmlns:r="http://schemas.openxmlformats.org/officeDocument/2006/relationships">
  <sheetPr>
    <pageSetUpPr fitToPage="1"/>
  </sheetPr>
  <sheetViews>
    <sheetView workbookViewId="0">
      <pane xSplit="3" ySplit="2" topLeftCell="D3" activePane="bottomRight" state="frozen"/>
      <selection pane="bottomRight" activeCell="D3" sqref="D3"/>
    </sheetView>
  </sheetViews>
  <sheetFormatPr defaultRowHeight="15"/>
  <cols>
    <col min="1" max="1" width="16" customWidth="1"/>
    <col min="2" max="2" width="36" customWidth="1"/>
    <col min="3" max="3" width="12" customWidth="1"/>
    <col min="4" max="4" width="30" customWidth="1"/>
    <col min="5" max="5" width="18" customWidth="1"/>
    <col min="6" max="6" width="26" customWidth="1"/>
    <col min="7" max="7" width="30" customWidth="1"/>
    <col min="8" max="8" width="18" customWidth="1"/>
    <col min="9" max="9" width="26" customWidth="1"/>
    <col min="10" max="10" width="30" customWidth="1"/>
    <col min="11" max="11" width="18" customWidth="1"/>
    <col min="12" max="12" width="26" customWidth="1"/>
    <col min="13" max="13" width="10" customWidth="1" hidden="1"/>
    <col min="14" max="14" width="10" customWidth="1" hidden="1"/>
    <col min="15" max="15" width="10" customWidth="1" hidden="1"/>
    <col min="16" max="16" width="10" customWidth="1" hidden="1"/>
  </cols>
  <sheetData>
    <row r="1" ht="22" customHeight="1">
      <c r="A1" s="8" t="inlineStr">
        <is>
          <t xml:space="preserve">Type each vendor's name over Vendor A, B and C.</t>
        </is>
      </c>
      <c r="D1" s="1" t="inlineStr">
        <is>
          <t xml:space="preserve">Vendor A</t>
        </is>
      </c>
      <c r="E1" s="1" t="inlineStr">
        <is>
          <t xml:space="preserve"/>
        </is>
      </c>
      <c r="F1" s="1" t="inlineStr">
        <is>
          <t xml:space="preserve"/>
        </is>
      </c>
      <c r="G1" s="1" t="inlineStr">
        <is>
          <t xml:space="preserve">Vendor B</t>
        </is>
      </c>
      <c r="H1" s="1" t="inlineStr">
        <is>
          <t xml:space="preserve"/>
        </is>
      </c>
      <c r="I1" s="1" t="inlineStr">
        <is>
          <t xml:space="preserve"/>
        </is>
      </c>
      <c r="J1" s="1" t="inlineStr">
        <is>
          <t xml:space="preserve">Vendor C</t>
        </is>
      </c>
      <c r="K1" s="1" t="inlineStr">
        <is>
          <t xml:space="preserve"/>
        </is>
      </c>
      <c r="L1" s="1" t="inlineStr">
        <is>
          <t xml:space="preserve"/>
        </is>
      </c>
    </row>
    <row r="2" ht="32" customHeight="1">
      <c r="A2" s="1" t="inlineStr">
        <is>
          <t xml:space="preserve">Dimension</t>
        </is>
      </c>
      <c r="B2" s="1" t="inlineStr">
        <is>
          <t xml:space="preserve">Criterion</t>
        </is>
      </c>
      <c r="C2" s="1" t="inlineStr">
        <is>
          <t xml:space="preserve">Priority (your buyer type)</t>
        </is>
      </c>
      <c r="D2" s="1" t="inlineStr">
        <is>
          <t xml:space="preserve">Answer</t>
        </is>
      </c>
      <c r="E2" s="1" t="inlineStr">
        <is>
          <t xml:space="preserve">Evidence status</t>
        </is>
      </c>
      <c r="F2" s="1" t="inlineStr">
        <is>
          <t xml:space="preserve">Notes</t>
        </is>
      </c>
      <c r="G2" s="1" t="inlineStr">
        <is>
          <t xml:space="preserve">Answer</t>
        </is>
      </c>
      <c r="H2" s="1" t="inlineStr">
        <is>
          <t xml:space="preserve">Evidence status</t>
        </is>
      </c>
      <c r="I2" s="1" t="inlineStr">
        <is>
          <t xml:space="preserve">Notes</t>
        </is>
      </c>
      <c r="J2" s="1" t="inlineStr">
        <is>
          <t xml:space="preserve">Answer</t>
        </is>
      </c>
      <c r="K2" s="1" t="inlineStr">
        <is>
          <t xml:space="preserve">Evidence status</t>
        </is>
      </c>
      <c r="L2" s="1" t="inlineStr">
        <is>
          <t xml:space="preserve">Notes</t>
        </is>
      </c>
      <c r="M2" t="inlineStr">
        <is>
          <t xml:space="preserve">Open rank Vendor A</t>
        </is>
      </c>
      <c r="N2" t="inlineStr">
        <is>
          <t xml:space="preserve">Open rank Vendor B</t>
        </is>
      </c>
      <c r="O2" t="inlineStr">
        <is>
          <t xml:space="preserve">Open rank Vendor C</t>
        </is>
      </c>
      <c r="P2" t="inlineStr">
        <is>
          <t xml:space="preserve">Open rank any vendor</t>
        </is>
      </c>
    </row>
    <row r="3">
      <c r="A3" s="11">
        <f>Requirements!A2</f>
      </c>
      <c r="B3" s="10">
        <f>Requirements!B2</f>
      </c>
      <c r="C3" s="12">
        <f>IF(BuyerType="Machine builder",Requirements!G2,IF(BuyerType="Factory operator",Requirements!H2,IF(BuyerType="Integrator",Requirements!I2,"")))</f>
      </c>
      <c r="D3" s="6"/>
      <c r="E3" s="6"/>
      <c r="F3" s="6"/>
      <c r="G3" s="6"/>
      <c r="H3" s="6"/>
      <c r="I3" s="6"/>
      <c r="J3" s="6"/>
      <c r="K3" s="6"/>
      <c r="L3" s="6"/>
      <c r="M3">
        <f>IF(AND($C3="Must",E3&lt;&gt;"Verified in demo",E3&lt;&gt;"Not applicable"),MAX(M$2:M2)+1,"")</f>
      </c>
      <c r="N3">
        <f>IF(AND($C3="Must",H3&lt;&gt;"Verified in demo",H3&lt;&gt;"Not applicable"),MAX(N$2:N2)+1,"")</f>
      </c>
      <c r="O3">
        <f>IF(AND($C3="Must",K3&lt;&gt;"Verified in demo",K3&lt;&gt;"Not applicable"),MAX(O$2:O2)+1,"")</f>
      </c>
      <c r="P3">
        <f>IF(OR(M3&lt;&gt;"",N3&lt;&gt;"",O3&lt;&gt;""),MAX(P$2:P2)+1,"")</f>
      </c>
    </row>
    <row r="4">
      <c r="A4" s="11">
        <f>Requirements!A3</f>
      </c>
      <c r="B4" s="10">
        <f>Requirements!B3</f>
      </c>
      <c r="C4" s="12">
        <f>IF(BuyerType="Machine builder",Requirements!G3,IF(BuyerType="Factory operator",Requirements!H3,IF(BuyerType="Integrator",Requirements!I3,"")))</f>
      </c>
      <c r="D4" s="6"/>
      <c r="E4" s="6"/>
      <c r="F4" s="6"/>
      <c r="G4" s="6"/>
      <c r="H4" s="6"/>
      <c r="I4" s="6"/>
      <c r="J4" s="6"/>
      <c r="K4" s="6"/>
      <c r="L4" s="6"/>
      <c r="M4">
        <f>IF(AND($C4="Must",E4&lt;&gt;"Verified in demo",E4&lt;&gt;"Not applicable"),MAX(M$2:M3)+1,"")</f>
      </c>
      <c r="N4">
        <f>IF(AND($C4="Must",H4&lt;&gt;"Verified in demo",H4&lt;&gt;"Not applicable"),MAX(N$2:N3)+1,"")</f>
      </c>
      <c r="O4">
        <f>IF(AND($C4="Must",K4&lt;&gt;"Verified in demo",K4&lt;&gt;"Not applicable"),MAX(O$2:O3)+1,"")</f>
      </c>
      <c r="P4">
        <f>IF(OR(M4&lt;&gt;"",N4&lt;&gt;"",O4&lt;&gt;""),MAX(P$2:P3)+1,"")</f>
      </c>
    </row>
    <row r="5">
      <c r="A5" s="11">
        <f>Requirements!A4</f>
      </c>
      <c r="B5" s="10">
        <f>Requirements!B4</f>
      </c>
      <c r="C5" s="12">
        <f>IF(BuyerType="Machine builder",Requirements!G4,IF(BuyerType="Factory operator",Requirements!H4,IF(BuyerType="Integrator",Requirements!I4,"")))</f>
      </c>
      <c r="D5" s="6"/>
      <c r="E5" s="6"/>
      <c r="F5" s="6"/>
      <c r="G5" s="6"/>
      <c r="H5" s="6"/>
      <c r="I5" s="6"/>
      <c r="J5" s="6"/>
      <c r="K5" s="6"/>
      <c r="L5" s="6"/>
      <c r="M5">
        <f>IF(AND($C5="Must",E5&lt;&gt;"Verified in demo",E5&lt;&gt;"Not applicable"),MAX(M$2:M4)+1,"")</f>
      </c>
      <c r="N5">
        <f>IF(AND($C5="Must",H5&lt;&gt;"Verified in demo",H5&lt;&gt;"Not applicable"),MAX(N$2:N4)+1,"")</f>
      </c>
      <c r="O5">
        <f>IF(AND($C5="Must",K5&lt;&gt;"Verified in demo",K5&lt;&gt;"Not applicable"),MAX(O$2:O4)+1,"")</f>
      </c>
      <c r="P5">
        <f>IF(OR(M5&lt;&gt;"",N5&lt;&gt;"",O5&lt;&gt;""),MAX(P$2:P4)+1,"")</f>
      </c>
    </row>
    <row r="6">
      <c r="A6" s="11">
        <f>Requirements!A5</f>
      </c>
      <c r="B6" s="10">
        <f>Requirements!B5</f>
      </c>
      <c r="C6" s="12">
        <f>IF(BuyerType="Machine builder",Requirements!G5,IF(BuyerType="Factory operator",Requirements!H5,IF(BuyerType="Integrator",Requirements!I5,"")))</f>
      </c>
      <c r="D6" s="6"/>
      <c r="E6" s="6"/>
      <c r="F6" s="6"/>
      <c r="G6" s="6"/>
      <c r="H6" s="6"/>
      <c r="I6" s="6"/>
      <c r="J6" s="6"/>
      <c r="K6" s="6"/>
      <c r="L6" s="6"/>
      <c r="M6">
        <f>IF(AND($C6="Must",E6&lt;&gt;"Verified in demo",E6&lt;&gt;"Not applicable"),MAX(M$2:M5)+1,"")</f>
      </c>
      <c r="N6">
        <f>IF(AND($C6="Must",H6&lt;&gt;"Verified in demo",H6&lt;&gt;"Not applicable"),MAX(N$2:N5)+1,"")</f>
      </c>
      <c r="O6">
        <f>IF(AND($C6="Must",K6&lt;&gt;"Verified in demo",K6&lt;&gt;"Not applicable"),MAX(O$2:O5)+1,"")</f>
      </c>
      <c r="P6">
        <f>IF(OR(M6&lt;&gt;"",N6&lt;&gt;"",O6&lt;&gt;""),MAX(P$2:P5)+1,"")</f>
      </c>
    </row>
    <row r="7">
      <c r="A7" s="11">
        <f>Requirements!A6</f>
      </c>
      <c r="B7" s="10">
        <f>Requirements!B6</f>
      </c>
      <c r="C7" s="12">
        <f>IF(BuyerType="Machine builder",Requirements!G6,IF(BuyerType="Factory operator",Requirements!H6,IF(BuyerType="Integrator",Requirements!I6,"")))</f>
      </c>
      <c r="D7" s="6"/>
      <c r="E7" s="6"/>
      <c r="F7" s="6"/>
      <c r="G7" s="6"/>
      <c r="H7" s="6"/>
      <c r="I7" s="6"/>
      <c r="J7" s="6"/>
      <c r="K7" s="6"/>
      <c r="L7" s="6"/>
      <c r="M7">
        <f>IF(AND($C7="Must",E7&lt;&gt;"Verified in demo",E7&lt;&gt;"Not applicable"),MAX(M$2:M6)+1,"")</f>
      </c>
      <c r="N7">
        <f>IF(AND($C7="Must",H7&lt;&gt;"Verified in demo",H7&lt;&gt;"Not applicable"),MAX(N$2:N6)+1,"")</f>
      </c>
      <c r="O7">
        <f>IF(AND($C7="Must",K7&lt;&gt;"Verified in demo",K7&lt;&gt;"Not applicable"),MAX(O$2:O6)+1,"")</f>
      </c>
      <c r="P7">
        <f>IF(OR(M7&lt;&gt;"",N7&lt;&gt;"",O7&lt;&gt;""),MAX(P$2:P6)+1,"")</f>
      </c>
    </row>
    <row r="8">
      <c r="A8" s="11">
        <f>Requirements!A7</f>
      </c>
      <c r="B8" s="10">
        <f>Requirements!B7</f>
      </c>
      <c r="C8" s="12">
        <f>IF(BuyerType="Machine builder",Requirements!G7,IF(BuyerType="Factory operator",Requirements!H7,IF(BuyerType="Integrator",Requirements!I7,"")))</f>
      </c>
      <c r="D8" s="6"/>
      <c r="E8" s="6"/>
      <c r="F8" s="6"/>
      <c r="G8" s="6"/>
      <c r="H8" s="6"/>
      <c r="I8" s="6"/>
      <c r="J8" s="6"/>
      <c r="K8" s="6"/>
      <c r="L8" s="6"/>
      <c r="M8">
        <f>IF(AND($C8="Must",E8&lt;&gt;"Verified in demo",E8&lt;&gt;"Not applicable"),MAX(M$2:M7)+1,"")</f>
      </c>
      <c r="N8">
        <f>IF(AND($C8="Must",H8&lt;&gt;"Verified in demo",H8&lt;&gt;"Not applicable"),MAX(N$2:N7)+1,"")</f>
      </c>
      <c r="O8">
        <f>IF(AND($C8="Must",K8&lt;&gt;"Verified in demo",K8&lt;&gt;"Not applicable"),MAX(O$2:O7)+1,"")</f>
      </c>
      <c r="P8">
        <f>IF(OR(M8&lt;&gt;"",N8&lt;&gt;"",O8&lt;&gt;""),MAX(P$2:P7)+1,"")</f>
      </c>
    </row>
    <row r="9">
      <c r="A9" s="11">
        <f>Requirements!A8</f>
      </c>
      <c r="B9" s="10">
        <f>Requirements!B8</f>
      </c>
      <c r="C9" s="12">
        <f>IF(BuyerType="Machine builder",Requirements!G8,IF(BuyerType="Factory operator",Requirements!H8,IF(BuyerType="Integrator",Requirements!I8,"")))</f>
      </c>
      <c r="D9" s="6"/>
      <c r="E9" s="6"/>
      <c r="F9" s="6"/>
      <c r="G9" s="6"/>
      <c r="H9" s="6"/>
      <c r="I9" s="6"/>
      <c r="J9" s="6"/>
      <c r="K9" s="6"/>
      <c r="L9" s="6"/>
      <c r="M9">
        <f>IF(AND($C9="Must",E9&lt;&gt;"Verified in demo",E9&lt;&gt;"Not applicable"),MAX(M$2:M8)+1,"")</f>
      </c>
      <c r="N9">
        <f>IF(AND($C9="Must",H9&lt;&gt;"Verified in demo",H9&lt;&gt;"Not applicable"),MAX(N$2:N8)+1,"")</f>
      </c>
      <c r="O9">
        <f>IF(AND($C9="Must",K9&lt;&gt;"Verified in demo",K9&lt;&gt;"Not applicable"),MAX(O$2:O8)+1,"")</f>
      </c>
      <c r="P9">
        <f>IF(OR(M9&lt;&gt;"",N9&lt;&gt;"",O9&lt;&gt;""),MAX(P$2:P8)+1,"")</f>
      </c>
    </row>
    <row r="10">
      <c r="A10" s="11">
        <f>Requirements!A9</f>
      </c>
      <c r="B10" s="10">
        <f>Requirements!B9</f>
      </c>
      <c r="C10" s="12">
        <f>IF(BuyerType="Machine builder",Requirements!G9,IF(BuyerType="Factory operator",Requirements!H9,IF(BuyerType="Integrator",Requirements!I9,"")))</f>
      </c>
      <c r="D10" s="6"/>
      <c r="E10" s="6"/>
      <c r="F10" s="6"/>
      <c r="G10" s="6"/>
      <c r="H10" s="6"/>
      <c r="I10" s="6"/>
      <c r="J10" s="6"/>
      <c r="K10" s="6"/>
      <c r="L10" s="6"/>
      <c r="M10">
        <f>IF(AND($C10="Must",E10&lt;&gt;"Verified in demo",E10&lt;&gt;"Not applicable"),MAX(M$2:M9)+1,"")</f>
      </c>
      <c r="N10">
        <f>IF(AND($C10="Must",H10&lt;&gt;"Verified in demo",H10&lt;&gt;"Not applicable"),MAX(N$2:N9)+1,"")</f>
      </c>
      <c r="O10">
        <f>IF(AND($C10="Must",K10&lt;&gt;"Verified in demo",K10&lt;&gt;"Not applicable"),MAX(O$2:O9)+1,"")</f>
      </c>
      <c r="P10">
        <f>IF(OR(M10&lt;&gt;"",N10&lt;&gt;"",O10&lt;&gt;""),MAX(P$2:P9)+1,"")</f>
      </c>
    </row>
    <row r="11">
      <c r="A11" s="11">
        <f>Requirements!A10</f>
      </c>
      <c r="B11" s="10">
        <f>Requirements!B10</f>
      </c>
      <c r="C11" s="12">
        <f>IF(BuyerType="Machine builder",Requirements!G10,IF(BuyerType="Factory operator",Requirements!H10,IF(BuyerType="Integrator",Requirements!I10,"")))</f>
      </c>
      <c r="D11" s="6"/>
      <c r="E11" s="6"/>
      <c r="F11" s="6"/>
      <c r="G11" s="6"/>
      <c r="H11" s="6"/>
      <c r="I11" s="6"/>
      <c r="J11" s="6"/>
      <c r="K11" s="6"/>
      <c r="L11" s="6"/>
      <c r="M11">
        <f>IF(AND($C11="Must",E11&lt;&gt;"Verified in demo",E11&lt;&gt;"Not applicable"),MAX(M$2:M10)+1,"")</f>
      </c>
      <c r="N11">
        <f>IF(AND($C11="Must",H11&lt;&gt;"Verified in demo",H11&lt;&gt;"Not applicable"),MAX(N$2:N10)+1,"")</f>
      </c>
      <c r="O11">
        <f>IF(AND($C11="Must",K11&lt;&gt;"Verified in demo",K11&lt;&gt;"Not applicable"),MAX(O$2:O10)+1,"")</f>
      </c>
      <c r="P11">
        <f>IF(OR(M11&lt;&gt;"",N11&lt;&gt;"",O11&lt;&gt;""),MAX(P$2:P10)+1,"")</f>
      </c>
    </row>
    <row r="12">
      <c r="A12" s="11">
        <f>Requirements!A11</f>
      </c>
      <c r="B12" s="10">
        <f>Requirements!B11</f>
      </c>
      <c r="C12" s="12">
        <f>IF(BuyerType="Machine builder",Requirements!G11,IF(BuyerType="Factory operator",Requirements!H11,IF(BuyerType="Integrator",Requirements!I11,"")))</f>
      </c>
      <c r="D12" s="6"/>
      <c r="E12" s="6"/>
      <c r="F12" s="6"/>
      <c r="G12" s="6"/>
      <c r="H12" s="6"/>
      <c r="I12" s="6"/>
      <c r="J12" s="6"/>
      <c r="K12" s="6"/>
      <c r="L12" s="6"/>
      <c r="M12">
        <f>IF(AND($C12="Must",E12&lt;&gt;"Verified in demo",E12&lt;&gt;"Not applicable"),MAX(M$2:M11)+1,"")</f>
      </c>
      <c r="N12">
        <f>IF(AND($C12="Must",H12&lt;&gt;"Verified in demo",H12&lt;&gt;"Not applicable"),MAX(N$2:N11)+1,"")</f>
      </c>
      <c r="O12">
        <f>IF(AND($C12="Must",K12&lt;&gt;"Verified in demo",K12&lt;&gt;"Not applicable"),MAX(O$2:O11)+1,"")</f>
      </c>
      <c r="P12">
        <f>IF(OR(M12&lt;&gt;"",N12&lt;&gt;"",O12&lt;&gt;""),MAX(P$2:P11)+1,"")</f>
      </c>
    </row>
    <row r="13">
      <c r="A13" s="11">
        <f>Requirements!A12</f>
      </c>
      <c r="B13" s="10">
        <f>Requirements!B12</f>
      </c>
      <c r="C13" s="12">
        <f>IF(BuyerType="Machine builder",Requirements!G12,IF(BuyerType="Factory operator",Requirements!H12,IF(BuyerType="Integrator",Requirements!I12,"")))</f>
      </c>
      <c r="D13" s="6"/>
      <c r="E13" s="6"/>
      <c r="F13" s="6"/>
      <c r="G13" s="6"/>
      <c r="H13" s="6"/>
      <c r="I13" s="6"/>
      <c r="J13" s="6"/>
      <c r="K13" s="6"/>
      <c r="L13" s="6"/>
      <c r="M13">
        <f>IF(AND($C13="Must",E13&lt;&gt;"Verified in demo",E13&lt;&gt;"Not applicable"),MAX(M$2:M12)+1,"")</f>
      </c>
      <c r="N13">
        <f>IF(AND($C13="Must",H13&lt;&gt;"Verified in demo",H13&lt;&gt;"Not applicable"),MAX(N$2:N12)+1,"")</f>
      </c>
      <c r="O13">
        <f>IF(AND($C13="Must",K13&lt;&gt;"Verified in demo",K13&lt;&gt;"Not applicable"),MAX(O$2:O12)+1,"")</f>
      </c>
      <c r="P13">
        <f>IF(OR(M13&lt;&gt;"",N13&lt;&gt;"",O13&lt;&gt;""),MAX(P$2:P12)+1,"")</f>
      </c>
    </row>
    <row r="14">
      <c r="A14" s="11">
        <f>Requirements!A13</f>
      </c>
      <c r="B14" s="10">
        <f>Requirements!B13</f>
      </c>
      <c r="C14" s="12">
        <f>IF(BuyerType="Machine builder",Requirements!G13,IF(BuyerType="Factory operator",Requirements!H13,IF(BuyerType="Integrator",Requirements!I13,"")))</f>
      </c>
      <c r="D14" s="6"/>
      <c r="E14" s="6"/>
      <c r="F14" s="6"/>
      <c r="G14" s="6"/>
      <c r="H14" s="6"/>
      <c r="I14" s="6"/>
      <c r="J14" s="6"/>
      <c r="K14" s="6"/>
      <c r="L14" s="6"/>
      <c r="M14">
        <f>IF(AND($C14="Must",E14&lt;&gt;"Verified in demo",E14&lt;&gt;"Not applicable"),MAX(M$2:M13)+1,"")</f>
      </c>
      <c r="N14">
        <f>IF(AND($C14="Must",H14&lt;&gt;"Verified in demo",H14&lt;&gt;"Not applicable"),MAX(N$2:N13)+1,"")</f>
      </c>
      <c r="O14">
        <f>IF(AND($C14="Must",K14&lt;&gt;"Verified in demo",K14&lt;&gt;"Not applicable"),MAX(O$2:O13)+1,"")</f>
      </c>
      <c r="P14">
        <f>IF(OR(M14&lt;&gt;"",N14&lt;&gt;"",O14&lt;&gt;""),MAX(P$2:P13)+1,"")</f>
      </c>
    </row>
    <row r="15">
      <c r="A15" s="11">
        <f>Requirements!A14</f>
      </c>
      <c r="B15" s="10">
        <f>Requirements!B14</f>
      </c>
      <c r="C15" s="12">
        <f>IF(BuyerType="Machine builder",Requirements!G14,IF(BuyerType="Factory operator",Requirements!H14,IF(BuyerType="Integrator",Requirements!I14,"")))</f>
      </c>
      <c r="D15" s="6"/>
      <c r="E15" s="6"/>
      <c r="F15" s="6"/>
      <c r="G15" s="6"/>
      <c r="H15" s="6"/>
      <c r="I15" s="6"/>
      <c r="J15" s="6"/>
      <c r="K15" s="6"/>
      <c r="L15" s="6"/>
      <c r="M15">
        <f>IF(AND($C15="Must",E15&lt;&gt;"Verified in demo",E15&lt;&gt;"Not applicable"),MAX(M$2:M14)+1,"")</f>
      </c>
      <c r="N15">
        <f>IF(AND($C15="Must",H15&lt;&gt;"Verified in demo",H15&lt;&gt;"Not applicable"),MAX(N$2:N14)+1,"")</f>
      </c>
      <c r="O15">
        <f>IF(AND($C15="Must",K15&lt;&gt;"Verified in demo",K15&lt;&gt;"Not applicable"),MAX(O$2:O14)+1,"")</f>
      </c>
      <c r="P15">
        <f>IF(OR(M15&lt;&gt;"",N15&lt;&gt;"",O15&lt;&gt;""),MAX(P$2:P14)+1,"")</f>
      </c>
    </row>
    <row r="16">
      <c r="A16" s="11">
        <f>Requirements!A15</f>
      </c>
      <c r="B16" s="10">
        <f>Requirements!B15</f>
      </c>
      <c r="C16" s="12">
        <f>IF(BuyerType="Machine builder",Requirements!G15,IF(BuyerType="Factory operator",Requirements!H15,IF(BuyerType="Integrator",Requirements!I15,"")))</f>
      </c>
      <c r="D16" s="6"/>
      <c r="E16" s="6"/>
      <c r="F16" s="6"/>
      <c r="G16" s="6"/>
      <c r="H16" s="6"/>
      <c r="I16" s="6"/>
      <c r="J16" s="6"/>
      <c r="K16" s="6"/>
      <c r="L16" s="6"/>
      <c r="M16">
        <f>IF(AND($C16="Must",E16&lt;&gt;"Verified in demo",E16&lt;&gt;"Not applicable"),MAX(M$2:M15)+1,"")</f>
      </c>
      <c r="N16">
        <f>IF(AND($C16="Must",H16&lt;&gt;"Verified in demo",H16&lt;&gt;"Not applicable"),MAX(N$2:N15)+1,"")</f>
      </c>
      <c r="O16">
        <f>IF(AND($C16="Must",K16&lt;&gt;"Verified in demo",K16&lt;&gt;"Not applicable"),MAX(O$2:O15)+1,"")</f>
      </c>
      <c r="P16">
        <f>IF(OR(M16&lt;&gt;"",N16&lt;&gt;"",O16&lt;&gt;""),MAX(P$2:P15)+1,"")</f>
      </c>
    </row>
    <row r="17">
      <c r="A17" s="11">
        <f>Requirements!A16</f>
      </c>
      <c r="B17" s="10">
        <f>Requirements!B16</f>
      </c>
      <c r="C17" s="12">
        <f>IF(BuyerType="Machine builder",Requirements!G16,IF(BuyerType="Factory operator",Requirements!H16,IF(BuyerType="Integrator",Requirements!I16,"")))</f>
      </c>
      <c r="D17" s="6"/>
      <c r="E17" s="6"/>
      <c r="F17" s="6"/>
      <c r="G17" s="6"/>
      <c r="H17" s="6"/>
      <c r="I17" s="6"/>
      <c r="J17" s="6"/>
      <c r="K17" s="6"/>
      <c r="L17" s="6"/>
      <c r="M17">
        <f>IF(AND($C17="Must",E17&lt;&gt;"Verified in demo",E17&lt;&gt;"Not applicable"),MAX(M$2:M16)+1,"")</f>
      </c>
      <c r="N17">
        <f>IF(AND($C17="Must",H17&lt;&gt;"Verified in demo",H17&lt;&gt;"Not applicable"),MAX(N$2:N16)+1,"")</f>
      </c>
      <c r="O17">
        <f>IF(AND($C17="Must",K17&lt;&gt;"Verified in demo",K17&lt;&gt;"Not applicable"),MAX(O$2:O16)+1,"")</f>
      </c>
      <c r="P17">
        <f>IF(OR(M17&lt;&gt;"",N17&lt;&gt;"",O17&lt;&gt;""),MAX(P$2:P16)+1,"")</f>
      </c>
    </row>
    <row r="18">
      <c r="A18" s="11">
        <f>Requirements!A17</f>
      </c>
      <c r="B18" s="10">
        <f>Requirements!B17</f>
      </c>
      <c r="C18" s="12">
        <f>IF(BuyerType="Machine builder",Requirements!G17,IF(BuyerType="Factory operator",Requirements!H17,IF(BuyerType="Integrator",Requirements!I17,"")))</f>
      </c>
      <c r="D18" s="6"/>
      <c r="E18" s="6"/>
      <c r="F18" s="6"/>
      <c r="G18" s="6"/>
      <c r="H18" s="6"/>
      <c r="I18" s="6"/>
      <c r="J18" s="6"/>
      <c r="K18" s="6"/>
      <c r="L18" s="6"/>
      <c r="M18">
        <f>IF(AND($C18="Must",E18&lt;&gt;"Verified in demo",E18&lt;&gt;"Not applicable"),MAX(M$2:M17)+1,"")</f>
      </c>
      <c r="N18">
        <f>IF(AND($C18="Must",H18&lt;&gt;"Verified in demo",H18&lt;&gt;"Not applicable"),MAX(N$2:N17)+1,"")</f>
      </c>
      <c r="O18">
        <f>IF(AND($C18="Must",K18&lt;&gt;"Verified in demo",K18&lt;&gt;"Not applicable"),MAX(O$2:O17)+1,"")</f>
      </c>
      <c r="P18">
        <f>IF(OR(M18&lt;&gt;"",N18&lt;&gt;"",O18&lt;&gt;""),MAX(P$2:P17)+1,"")</f>
      </c>
    </row>
    <row r="19">
      <c r="A19" s="11">
        <f>Requirements!A18</f>
      </c>
      <c r="B19" s="10">
        <f>Requirements!B18</f>
      </c>
      <c r="C19" s="12">
        <f>IF(BuyerType="Machine builder",Requirements!G18,IF(BuyerType="Factory operator",Requirements!H18,IF(BuyerType="Integrator",Requirements!I18,"")))</f>
      </c>
      <c r="D19" s="6"/>
      <c r="E19" s="6"/>
      <c r="F19" s="6"/>
      <c r="G19" s="6"/>
      <c r="H19" s="6"/>
      <c r="I19" s="6"/>
      <c r="J19" s="6"/>
      <c r="K19" s="6"/>
      <c r="L19" s="6"/>
      <c r="M19">
        <f>IF(AND($C19="Must",E19&lt;&gt;"Verified in demo",E19&lt;&gt;"Not applicable"),MAX(M$2:M18)+1,"")</f>
      </c>
      <c r="N19">
        <f>IF(AND($C19="Must",H19&lt;&gt;"Verified in demo",H19&lt;&gt;"Not applicable"),MAX(N$2:N18)+1,"")</f>
      </c>
      <c r="O19">
        <f>IF(AND($C19="Must",K19&lt;&gt;"Verified in demo",K19&lt;&gt;"Not applicable"),MAX(O$2:O18)+1,"")</f>
      </c>
      <c r="P19">
        <f>IF(OR(M19&lt;&gt;"",N19&lt;&gt;"",O19&lt;&gt;""),MAX(P$2:P18)+1,"")</f>
      </c>
    </row>
    <row r="20">
      <c r="A20" s="11">
        <f>Requirements!A19</f>
      </c>
      <c r="B20" s="10">
        <f>Requirements!B19</f>
      </c>
      <c r="C20" s="12">
        <f>IF(BuyerType="Machine builder",Requirements!G19,IF(BuyerType="Factory operator",Requirements!H19,IF(BuyerType="Integrator",Requirements!I19,"")))</f>
      </c>
      <c r="D20" s="6"/>
      <c r="E20" s="6"/>
      <c r="F20" s="6"/>
      <c r="G20" s="6"/>
      <c r="H20" s="6"/>
      <c r="I20" s="6"/>
      <c r="J20" s="6"/>
      <c r="K20" s="6"/>
      <c r="L20" s="6"/>
      <c r="M20">
        <f>IF(AND($C20="Must",E20&lt;&gt;"Verified in demo",E20&lt;&gt;"Not applicable"),MAX(M$2:M19)+1,"")</f>
      </c>
      <c r="N20">
        <f>IF(AND($C20="Must",H20&lt;&gt;"Verified in demo",H20&lt;&gt;"Not applicable"),MAX(N$2:N19)+1,"")</f>
      </c>
      <c r="O20">
        <f>IF(AND($C20="Must",K20&lt;&gt;"Verified in demo",K20&lt;&gt;"Not applicable"),MAX(O$2:O19)+1,"")</f>
      </c>
      <c r="P20">
        <f>IF(OR(M20&lt;&gt;"",N20&lt;&gt;"",O20&lt;&gt;""),MAX(P$2:P19)+1,"")</f>
      </c>
    </row>
    <row r="21">
      <c r="A21" s="11">
        <f>Requirements!A20</f>
      </c>
      <c r="B21" s="10">
        <f>Requirements!B20</f>
      </c>
      <c r="C21" s="12">
        <f>IF(BuyerType="Machine builder",Requirements!G20,IF(BuyerType="Factory operator",Requirements!H20,IF(BuyerType="Integrator",Requirements!I20,"")))</f>
      </c>
      <c r="D21" s="6"/>
      <c r="E21" s="6"/>
      <c r="F21" s="6"/>
      <c r="G21" s="6"/>
      <c r="H21" s="6"/>
      <c r="I21" s="6"/>
      <c r="J21" s="6"/>
      <c r="K21" s="6"/>
      <c r="L21" s="6"/>
      <c r="M21">
        <f>IF(AND($C21="Must",E21&lt;&gt;"Verified in demo",E21&lt;&gt;"Not applicable"),MAX(M$2:M20)+1,"")</f>
      </c>
      <c r="N21">
        <f>IF(AND($C21="Must",H21&lt;&gt;"Verified in demo",H21&lt;&gt;"Not applicable"),MAX(N$2:N20)+1,"")</f>
      </c>
      <c r="O21">
        <f>IF(AND($C21="Must",K21&lt;&gt;"Verified in demo",K21&lt;&gt;"Not applicable"),MAX(O$2:O20)+1,"")</f>
      </c>
      <c r="P21">
        <f>IF(OR(M21&lt;&gt;"",N21&lt;&gt;"",O21&lt;&gt;""),MAX(P$2:P20)+1,"")</f>
      </c>
    </row>
    <row r="22">
      <c r="A22" s="11">
        <f>Requirements!A21</f>
      </c>
      <c r="B22" s="10">
        <f>Requirements!B21</f>
      </c>
      <c r="C22" s="12">
        <f>IF(BuyerType="Machine builder",Requirements!G21,IF(BuyerType="Factory operator",Requirements!H21,IF(BuyerType="Integrator",Requirements!I21,"")))</f>
      </c>
      <c r="D22" s="6"/>
      <c r="E22" s="6"/>
      <c r="F22" s="6"/>
      <c r="G22" s="6"/>
      <c r="H22" s="6"/>
      <c r="I22" s="6"/>
      <c r="J22" s="6"/>
      <c r="K22" s="6"/>
      <c r="L22" s="6"/>
      <c r="M22">
        <f>IF(AND($C22="Must",E22&lt;&gt;"Verified in demo",E22&lt;&gt;"Not applicable"),MAX(M$2:M21)+1,"")</f>
      </c>
      <c r="N22">
        <f>IF(AND($C22="Must",H22&lt;&gt;"Verified in demo",H22&lt;&gt;"Not applicable"),MAX(N$2:N21)+1,"")</f>
      </c>
      <c r="O22">
        <f>IF(AND($C22="Must",K22&lt;&gt;"Verified in demo",K22&lt;&gt;"Not applicable"),MAX(O$2:O21)+1,"")</f>
      </c>
      <c r="P22">
        <f>IF(OR(M22&lt;&gt;"",N22&lt;&gt;"",O22&lt;&gt;""),MAX(P$2:P21)+1,"")</f>
      </c>
    </row>
    <row r="23">
      <c r="A23" s="11">
        <f>Requirements!A22</f>
      </c>
      <c r="B23" s="10">
        <f>Requirements!B22</f>
      </c>
      <c r="C23" s="12">
        <f>IF(BuyerType="Machine builder",Requirements!G22,IF(BuyerType="Factory operator",Requirements!H22,IF(BuyerType="Integrator",Requirements!I22,"")))</f>
      </c>
      <c r="D23" s="6"/>
      <c r="E23" s="6"/>
      <c r="F23" s="6"/>
      <c r="G23" s="6"/>
      <c r="H23" s="6"/>
      <c r="I23" s="6"/>
      <c r="J23" s="6"/>
      <c r="K23" s="6"/>
      <c r="L23" s="6"/>
      <c r="M23">
        <f>IF(AND($C23="Must",E23&lt;&gt;"Verified in demo",E23&lt;&gt;"Not applicable"),MAX(M$2:M22)+1,"")</f>
      </c>
      <c r="N23">
        <f>IF(AND($C23="Must",H23&lt;&gt;"Verified in demo",H23&lt;&gt;"Not applicable"),MAX(N$2:N22)+1,"")</f>
      </c>
      <c r="O23">
        <f>IF(AND($C23="Must",K23&lt;&gt;"Verified in demo",K23&lt;&gt;"Not applicable"),MAX(O$2:O22)+1,"")</f>
      </c>
      <c r="P23">
        <f>IF(OR(M23&lt;&gt;"",N23&lt;&gt;"",O23&lt;&gt;""),MAX(P$2:P22)+1,"")</f>
      </c>
    </row>
    <row r="24">
      <c r="A24" s="11">
        <f>Requirements!A23</f>
      </c>
      <c r="B24" s="10">
        <f>Requirements!B23</f>
      </c>
      <c r="C24" s="12">
        <f>IF(BuyerType="Machine builder",Requirements!G23,IF(BuyerType="Factory operator",Requirements!H23,IF(BuyerType="Integrator",Requirements!I23,"")))</f>
      </c>
      <c r="D24" s="6"/>
      <c r="E24" s="6"/>
      <c r="F24" s="6"/>
      <c r="G24" s="6"/>
      <c r="H24" s="6"/>
      <c r="I24" s="6"/>
      <c r="J24" s="6"/>
      <c r="K24" s="6"/>
      <c r="L24" s="6"/>
      <c r="M24">
        <f>IF(AND($C24="Must",E24&lt;&gt;"Verified in demo",E24&lt;&gt;"Not applicable"),MAX(M$2:M23)+1,"")</f>
      </c>
      <c r="N24">
        <f>IF(AND($C24="Must",H24&lt;&gt;"Verified in demo",H24&lt;&gt;"Not applicable"),MAX(N$2:N23)+1,"")</f>
      </c>
      <c r="O24">
        <f>IF(AND($C24="Must",K24&lt;&gt;"Verified in demo",K24&lt;&gt;"Not applicable"),MAX(O$2:O23)+1,"")</f>
      </c>
      <c r="P24">
        <f>IF(OR(M24&lt;&gt;"",N24&lt;&gt;"",O24&lt;&gt;""),MAX(P$2:P23)+1,"")</f>
      </c>
    </row>
    <row r="25">
      <c r="A25" s="11">
        <f>Requirements!A24</f>
      </c>
      <c r="B25" s="10">
        <f>Requirements!B24</f>
      </c>
      <c r="C25" s="12">
        <f>IF(BuyerType="Machine builder",Requirements!G24,IF(BuyerType="Factory operator",Requirements!H24,IF(BuyerType="Integrator",Requirements!I24,"")))</f>
      </c>
      <c r="D25" s="6"/>
      <c r="E25" s="6"/>
      <c r="F25" s="6"/>
      <c r="G25" s="6"/>
      <c r="H25" s="6"/>
      <c r="I25" s="6"/>
      <c r="J25" s="6"/>
      <c r="K25" s="6"/>
      <c r="L25" s="6"/>
      <c r="M25">
        <f>IF(AND($C25="Must",E25&lt;&gt;"Verified in demo",E25&lt;&gt;"Not applicable"),MAX(M$2:M24)+1,"")</f>
      </c>
      <c r="N25">
        <f>IF(AND($C25="Must",H25&lt;&gt;"Verified in demo",H25&lt;&gt;"Not applicable"),MAX(N$2:N24)+1,"")</f>
      </c>
      <c r="O25">
        <f>IF(AND($C25="Must",K25&lt;&gt;"Verified in demo",K25&lt;&gt;"Not applicable"),MAX(O$2:O24)+1,"")</f>
      </c>
      <c r="P25">
        <f>IF(OR(M25&lt;&gt;"",N25&lt;&gt;"",O25&lt;&gt;""),MAX(P$2:P24)+1,"")</f>
      </c>
    </row>
    <row r="26">
      <c r="A26" s="11">
        <f>Requirements!A25</f>
      </c>
      <c r="B26" s="10">
        <f>Requirements!B25</f>
      </c>
      <c r="C26" s="12">
        <f>IF(BuyerType="Machine builder",Requirements!G25,IF(BuyerType="Factory operator",Requirements!H25,IF(BuyerType="Integrator",Requirements!I25,"")))</f>
      </c>
      <c r="D26" s="6"/>
      <c r="E26" s="6"/>
      <c r="F26" s="6"/>
      <c r="G26" s="6"/>
      <c r="H26" s="6"/>
      <c r="I26" s="6"/>
      <c r="J26" s="6"/>
      <c r="K26" s="6"/>
      <c r="L26" s="6"/>
      <c r="M26">
        <f>IF(AND($C26="Must",E26&lt;&gt;"Verified in demo",E26&lt;&gt;"Not applicable"),MAX(M$2:M25)+1,"")</f>
      </c>
      <c r="N26">
        <f>IF(AND($C26="Must",H26&lt;&gt;"Verified in demo",H26&lt;&gt;"Not applicable"),MAX(N$2:N25)+1,"")</f>
      </c>
      <c r="O26">
        <f>IF(AND($C26="Must",K26&lt;&gt;"Verified in demo",K26&lt;&gt;"Not applicable"),MAX(O$2:O25)+1,"")</f>
      </c>
      <c r="P26">
        <f>IF(OR(M26&lt;&gt;"",N26&lt;&gt;"",O26&lt;&gt;""),MAX(P$2:P25)+1,"")</f>
      </c>
    </row>
    <row r="27">
      <c r="A27" s="11">
        <f>Requirements!A26</f>
      </c>
      <c r="B27" s="10">
        <f>Requirements!B26</f>
      </c>
      <c r="C27" s="12">
        <f>IF(BuyerType="Machine builder",Requirements!G26,IF(BuyerType="Factory operator",Requirements!H26,IF(BuyerType="Integrator",Requirements!I26,"")))</f>
      </c>
      <c r="D27" s="6"/>
      <c r="E27" s="6"/>
      <c r="F27" s="6"/>
      <c r="G27" s="6"/>
      <c r="H27" s="6"/>
      <c r="I27" s="6"/>
      <c r="J27" s="6"/>
      <c r="K27" s="6"/>
      <c r="L27" s="6"/>
      <c r="M27">
        <f>IF(AND($C27="Must",E27&lt;&gt;"Verified in demo",E27&lt;&gt;"Not applicable"),MAX(M$2:M26)+1,"")</f>
      </c>
      <c r="N27">
        <f>IF(AND($C27="Must",H27&lt;&gt;"Verified in demo",H27&lt;&gt;"Not applicable"),MAX(N$2:N26)+1,"")</f>
      </c>
      <c r="O27">
        <f>IF(AND($C27="Must",K27&lt;&gt;"Verified in demo",K27&lt;&gt;"Not applicable"),MAX(O$2:O26)+1,"")</f>
      </c>
      <c r="P27">
        <f>IF(OR(M27&lt;&gt;"",N27&lt;&gt;"",O27&lt;&gt;""),MAX(P$2:P26)+1,"")</f>
      </c>
    </row>
    <row r="28">
      <c r="A28" s="11">
        <f>Requirements!A27</f>
      </c>
      <c r="B28" s="10">
        <f>Requirements!B27</f>
      </c>
      <c r="C28" s="12">
        <f>IF(BuyerType="Machine builder",Requirements!G27,IF(BuyerType="Factory operator",Requirements!H27,IF(BuyerType="Integrator",Requirements!I27,"")))</f>
      </c>
      <c r="D28" s="6"/>
      <c r="E28" s="6"/>
      <c r="F28" s="6"/>
      <c r="G28" s="6"/>
      <c r="H28" s="6"/>
      <c r="I28" s="6"/>
      <c r="J28" s="6"/>
      <c r="K28" s="6"/>
      <c r="L28" s="6"/>
      <c r="M28">
        <f>IF(AND($C28="Must",E28&lt;&gt;"Verified in demo",E28&lt;&gt;"Not applicable"),MAX(M$2:M27)+1,"")</f>
      </c>
      <c r="N28">
        <f>IF(AND($C28="Must",H28&lt;&gt;"Verified in demo",H28&lt;&gt;"Not applicable"),MAX(N$2:N27)+1,"")</f>
      </c>
      <c r="O28">
        <f>IF(AND($C28="Must",K28&lt;&gt;"Verified in demo",K28&lt;&gt;"Not applicable"),MAX(O$2:O27)+1,"")</f>
      </c>
      <c r="P28">
        <f>IF(OR(M28&lt;&gt;"",N28&lt;&gt;"",O28&lt;&gt;""),MAX(P$2:P27)+1,"")</f>
      </c>
    </row>
    <row r="29">
      <c r="A29" s="11">
        <f>Requirements!A28</f>
      </c>
      <c r="B29" s="10">
        <f>Requirements!B28</f>
      </c>
      <c r="C29" s="12">
        <f>IF(BuyerType="Machine builder",Requirements!G28,IF(BuyerType="Factory operator",Requirements!H28,IF(BuyerType="Integrator",Requirements!I28,"")))</f>
      </c>
      <c r="D29" s="6"/>
      <c r="E29" s="6"/>
      <c r="F29" s="6"/>
      <c r="G29" s="6"/>
      <c r="H29" s="6"/>
      <c r="I29" s="6"/>
      <c r="J29" s="6"/>
      <c r="K29" s="6"/>
      <c r="L29" s="6"/>
      <c r="M29">
        <f>IF(AND($C29="Must",E29&lt;&gt;"Verified in demo",E29&lt;&gt;"Not applicable"),MAX(M$2:M28)+1,"")</f>
      </c>
      <c r="N29">
        <f>IF(AND($C29="Must",H29&lt;&gt;"Verified in demo",H29&lt;&gt;"Not applicable"),MAX(N$2:N28)+1,"")</f>
      </c>
      <c r="O29">
        <f>IF(AND($C29="Must",K29&lt;&gt;"Verified in demo",K29&lt;&gt;"Not applicable"),MAX(O$2:O28)+1,"")</f>
      </c>
      <c r="P29">
        <f>IF(OR(M29&lt;&gt;"",N29&lt;&gt;"",O29&lt;&gt;""),MAX(P$2:P28)+1,"")</f>
      </c>
    </row>
    <row r="30">
      <c r="A30" s="11">
        <f>Requirements!A29</f>
      </c>
      <c r="B30" s="10">
        <f>Requirements!B29</f>
      </c>
      <c r="C30" s="12">
        <f>IF(BuyerType="Machine builder",Requirements!G29,IF(BuyerType="Factory operator",Requirements!H29,IF(BuyerType="Integrator",Requirements!I29,"")))</f>
      </c>
      <c r="D30" s="6"/>
      <c r="E30" s="6"/>
      <c r="F30" s="6"/>
      <c r="G30" s="6"/>
      <c r="H30" s="6"/>
      <c r="I30" s="6"/>
      <c r="J30" s="6"/>
      <c r="K30" s="6"/>
      <c r="L30" s="6"/>
      <c r="M30">
        <f>IF(AND($C30="Must",E30&lt;&gt;"Verified in demo",E30&lt;&gt;"Not applicable"),MAX(M$2:M29)+1,"")</f>
      </c>
      <c r="N30">
        <f>IF(AND($C30="Must",H30&lt;&gt;"Verified in demo",H30&lt;&gt;"Not applicable"),MAX(N$2:N29)+1,"")</f>
      </c>
      <c r="O30">
        <f>IF(AND($C30="Must",K30&lt;&gt;"Verified in demo",K30&lt;&gt;"Not applicable"),MAX(O$2:O29)+1,"")</f>
      </c>
      <c r="P30">
        <f>IF(OR(M30&lt;&gt;"",N30&lt;&gt;"",O30&lt;&gt;""),MAX(P$2:P29)+1,"")</f>
      </c>
    </row>
    <row r="31">
      <c r="A31" s="11">
        <f>Requirements!A30</f>
      </c>
      <c r="B31" s="10">
        <f>Requirements!B30</f>
      </c>
      <c r="C31" s="12">
        <f>IF(BuyerType="Machine builder",Requirements!G30,IF(BuyerType="Factory operator",Requirements!H30,IF(BuyerType="Integrator",Requirements!I30,"")))</f>
      </c>
      <c r="D31" s="6"/>
      <c r="E31" s="6"/>
      <c r="F31" s="6"/>
      <c r="G31" s="6"/>
      <c r="H31" s="6"/>
      <c r="I31" s="6"/>
      <c r="J31" s="6"/>
      <c r="K31" s="6"/>
      <c r="L31" s="6"/>
      <c r="M31">
        <f>IF(AND($C31="Must",E31&lt;&gt;"Verified in demo",E31&lt;&gt;"Not applicable"),MAX(M$2:M30)+1,"")</f>
      </c>
      <c r="N31">
        <f>IF(AND($C31="Must",H31&lt;&gt;"Verified in demo",H31&lt;&gt;"Not applicable"),MAX(N$2:N30)+1,"")</f>
      </c>
      <c r="O31">
        <f>IF(AND($C31="Must",K31&lt;&gt;"Verified in demo",K31&lt;&gt;"Not applicable"),MAX(O$2:O30)+1,"")</f>
      </c>
      <c r="P31">
        <f>IF(OR(M31&lt;&gt;"",N31&lt;&gt;"",O31&lt;&gt;""),MAX(P$2:P30)+1,"")</f>
      </c>
    </row>
    <row r="32">
      <c r="A32" s="11">
        <f>Requirements!A31</f>
      </c>
      <c r="B32" s="10">
        <f>Requirements!B31</f>
      </c>
      <c r="C32" s="12">
        <f>IF(BuyerType="Machine builder",Requirements!G31,IF(BuyerType="Factory operator",Requirements!H31,IF(BuyerType="Integrator",Requirements!I31,"")))</f>
      </c>
      <c r="D32" s="6"/>
      <c r="E32" s="6"/>
      <c r="F32" s="6"/>
      <c r="G32" s="6"/>
      <c r="H32" s="6"/>
      <c r="I32" s="6"/>
      <c r="J32" s="6"/>
      <c r="K32" s="6"/>
      <c r="L32" s="6"/>
      <c r="M32">
        <f>IF(AND($C32="Must",E32&lt;&gt;"Verified in demo",E32&lt;&gt;"Not applicable"),MAX(M$2:M31)+1,"")</f>
      </c>
      <c r="N32">
        <f>IF(AND($C32="Must",H32&lt;&gt;"Verified in demo",H32&lt;&gt;"Not applicable"),MAX(N$2:N31)+1,"")</f>
      </c>
      <c r="O32">
        <f>IF(AND($C32="Must",K32&lt;&gt;"Verified in demo",K32&lt;&gt;"Not applicable"),MAX(O$2:O31)+1,"")</f>
      </c>
      <c r="P32">
        <f>IF(OR(M32&lt;&gt;"",N32&lt;&gt;"",O32&lt;&gt;""),MAX(P$2:P31)+1,"")</f>
      </c>
    </row>
    <row r="33">
      <c r="A33" s="11">
        <f>Requirements!A32</f>
      </c>
      <c r="B33" s="10">
        <f>Requirements!B32</f>
      </c>
      <c r="C33" s="12">
        <f>IF(BuyerType="Machine builder",Requirements!G32,IF(BuyerType="Factory operator",Requirements!H32,IF(BuyerType="Integrator",Requirements!I32,"")))</f>
      </c>
      <c r="D33" s="6"/>
      <c r="E33" s="6"/>
      <c r="F33" s="6"/>
      <c r="G33" s="6"/>
      <c r="H33" s="6"/>
      <c r="I33" s="6"/>
      <c r="J33" s="6"/>
      <c r="K33" s="6"/>
      <c r="L33" s="6"/>
      <c r="M33">
        <f>IF(AND($C33="Must",E33&lt;&gt;"Verified in demo",E33&lt;&gt;"Not applicable"),MAX(M$2:M32)+1,"")</f>
      </c>
      <c r="N33">
        <f>IF(AND($C33="Must",H33&lt;&gt;"Verified in demo",H33&lt;&gt;"Not applicable"),MAX(N$2:N32)+1,"")</f>
      </c>
      <c r="O33">
        <f>IF(AND($C33="Must",K33&lt;&gt;"Verified in demo",K33&lt;&gt;"Not applicable"),MAX(O$2:O32)+1,"")</f>
      </c>
      <c r="P33">
        <f>IF(OR(M33&lt;&gt;"",N33&lt;&gt;"",O33&lt;&gt;""),MAX(P$2:P32)+1,"")</f>
      </c>
    </row>
  </sheetData>
  <mergeCells count="4">
    <mergeCell ref="A1:C1"/>
    <mergeCell ref="D1:F1"/>
    <mergeCell ref="G1:I1"/>
    <mergeCell ref="J1:L1"/>
  </mergeCells>
  <dataValidations count="3">
    <dataValidation type="list" allowBlank="1" showErrorMessage="1" errorTitle="Choose from the list" error="Choose one of: Verified in demo, Documented only, Claimed, Not answered, Not applicable." sqref="E3:E33">
      <formula1>"Verified in demo,Documented only,Claimed,Not answered,Not applicable"</formula1>
    </dataValidation>
    <dataValidation type="list" allowBlank="1" showErrorMessage="1" errorTitle="Choose from the list" error="Choose one of: Verified in demo, Documented only, Claimed, Not answered, Not applicable." sqref="H3:H33">
      <formula1>"Verified in demo,Documented only,Claimed,Not answered,Not applicable"</formula1>
    </dataValidation>
    <dataValidation type="list" allowBlank="1" showErrorMessage="1" errorTitle="Choose from the list" error="Choose one of: Verified in demo, Documented only, Claimed, Not answered, Not applicable." sqref="K3:K33">
      <formula1>"Verified in demo,Documented only,Claimed,Not answered,Not applicable"</formula1>
    </dataValidation>
  </dataValidations>
  <pageMargins left="0.4" right="0.4" top="0.5" bottom="0.5" header="0.3" footer="0.3"/>
  <pageSetup paperSize="9" orientation="landscape" fitToWidth="1" fitToHeight="0"/>
</worksheet>
</file>

<file path=xl/worksheets/sheet5.xml><?xml version="1.0" encoding="utf-8"?>
<worksheet xmlns="http://schemas.openxmlformats.org/spreadsheetml/2006/main" xmlns:r="http://schemas.openxmlformats.org/officeDocument/2006/relationships">
  <sheetPr>
    <pageSetUpPr fitToPage="1"/>
  </sheetPr>
  <sheetViews>
    <sheetView workbookViewId="0">
      <pane ySplit="4" topLeftCell="A5" activePane="bottomLeft" state="frozen"/>
      <selection pane="bottomLeft" activeCell="A5" sqref="A5"/>
    </sheetView>
  </sheetViews>
  <sheetFormatPr defaultRowHeight="15"/>
  <cols>
    <col min="1" max="1" width="5" customWidth="1"/>
    <col min="2" max="2" width="28" customWidth="1"/>
    <col min="3" max="3" width="42" customWidth="1"/>
    <col min="4" max="4" width="42" customWidth="1"/>
    <col min="5" max="5" width="42" customWidth="1"/>
    <col min="6" max="6" width="18" customWidth="1"/>
    <col min="7" max="7" width="16" customWidth="1"/>
    <col min="8" max="8" width="16" customWidth="1"/>
    <col min="9" max="9" width="16" customWidth="1"/>
    <col min="10" max="10" width="30" customWidth="1"/>
  </cols>
  <sheetData>
    <row r="1">
      <c r="A1" s="5" t="inlineStr">
        <is>
          <t xml:space="preserve">Demo script</t>
        </is>
      </c>
    </row>
    <row r="2">
      <c r="A2" s="8" t="inlineStr">
        <is>
          <t xml:space="preserve">Ask each vendor to do these live, on a system you direct, not as slides. Record what you saw for each vendor, then set the matching rows on the Vendor comparison sheet.</t>
        </is>
      </c>
    </row>
    <row r="4" ht="32" customHeight="1">
      <c r="A4" s="1" t="inlineStr">
        <is>
          <t xml:space="preserve">#</t>
        </is>
      </c>
      <c r="B4" s="1" t="inlineStr">
        <is>
          <t xml:space="preserve">Scenario</t>
        </is>
      </c>
      <c r="C4" s="1" t="inlineStr">
        <is>
          <t xml:space="preserve">Ask the vendor to</t>
        </is>
      </c>
      <c r="D4" s="1" t="inlineStr">
        <is>
          <t xml:space="preserve">Evidence to expect</t>
        </is>
      </c>
      <c r="E4" s="1" t="inlineStr">
        <is>
          <t xml:space="preserve">Follow-up questions</t>
        </is>
      </c>
      <c r="F4" s="1" t="inlineStr">
        <is>
          <t xml:space="preserve">Dimensions</t>
        </is>
      </c>
      <c r="G4" s="1">
        <f>'Vendor comparison'!$D$1</f>
      </c>
      <c r="H4" s="1">
        <f>'Vendor comparison'!$G$1</f>
      </c>
      <c r="I4" s="1">
        <f>'Vendor comparison'!$J$1</f>
      </c>
      <c r="J4" s="1" t="inlineStr">
        <is>
          <t xml:space="preserve">Notes</t>
        </is>
      </c>
    </row>
    <row r="5">
      <c r="A5" s="12">
        <v>1</v>
      </c>
      <c r="B5" s="11" t="inlineStr">
        <is>
          <t xml:space="preserve">Revoke an active session</t>
        </is>
      </c>
      <c r="C5" s="10" t="inlineStr">
        <is>
          <t xml:space="preserve">Start a session as a technician, then have a customer-side user revoke it while it is running.</t>
        </is>
      </c>
      <c r="D5" s="10" t="inlineStr">
        <is>
          <t xml:space="preserve">The session ends within seconds, the technician cannot reconnect, and the log shows who revoked it and when.</t>
        </is>
      </c>
      <c r="E5" s="10" t="inlineStr">
        <is>
          <t xml:space="preserve">How long until revocation takes effect on every path? Could the technician reconnect another way?</t>
        </is>
      </c>
      <c r="F5" s="10" t="inlineStr">
        <is>
          <t xml:space="preserve">Lifecycle, Availability</t>
        </is>
      </c>
      <c r="G5" s="6"/>
      <c r="H5" s="6"/>
      <c r="I5" s="6"/>
      <c r="J5" s="6"/>
    </row>
    <row r="6">
      <c r="A6" s="12">
        <v>2</v>
      </c>
      <c r="B6" s="11" t="inlineStr">
        <is>
          <t xml:space="preserve">Restrict access to one machine</t>
        </is>
      </c>
      <c r="C6" s="10" t="inlineStr">
        <is>
          <t xml:space="preserve">Give a user access to one machine only, then try to reach a second machine on the same network from that session.</t>
        </is>
      </c>
      <c r="D6" s="10" t="inlineStr">
        <is>
          <t xml:space="preserve">The second machine is unreachable, and the attempt is refused and recorded.</t>
        </is>
      </c>
      <c r="E6" s="10" t="inlineStr">
        <is>
          <t xml:space="preserve">Is the restriction enforced by the tool or by our firewall? Can a user widen their own scope?</t>
        </is>
      </c>
      <c r="F6" s="10" t="inlineStr">
        <is>
          <t xml:space="preserve">Scope</t>
        </is>
      </c>
      <c r="G6" s="6"/>
      <c r="H6" s="6"/>
      <c r="I6" s="6"/>
      <c r="J6" s="6"/>
    </row>
    <row r="7">
      <c r="A7" s="12">
        <v>3</v>
      </c>
      <c r="B7" s="11" t="inlineStr">
        <is>
          <t xml:space="preserve">Remove a departing engineer end to end</t>
        </is>
      </c>
      <c r="C7" s="10" t="inlineStr">
        <is>
          <t xml:space="preserve">Remove one engineer who has access at several sites, then try every way they could connect.</t>
        </is>
      </c>
      <c r="D7" s="10" t="inlineStr">
        <is>
          <t xml:space="preserve">Access removed in one action or one documented procedure; no login, saved credential or device still works.</t>
        </is>
      </c>
      <c r="E7" s="10" t="inlineStr">
        <is>
          <t xml:space="preserve">What about accounts on the plant side or at a subcontractor? Who is told, and how?</t>
        </is>
      </c>
      <c r="F7" s="10" t="inlineStr">
        <is>
          <t xml:space="preserve">Lifecycle, Identity</t>
        </is>
      </c>
      <c r="G7" s="6"/>
      <c r="H7" s="6"/>
      <c r="I7" s="6"/>
      <c r="J7" s="6"/>
    </row>
    <row r="8">
      <c r="A8" s="12">
        <v>4</v>
      </c>
      <c r="B8" s="11" t="inlineStr">
        <is>
          <t xml:space="preserve">Reconstruct a past session from the logs</t>
        </is>
      </c>
      <c r="C8" s="10" t="inlineStr">
        <is>
          <t xml:space="preserve">Pick a session from earlier in the demo and reconstruct who connected, to what, when, and what they did, using only the logs.</t>
        </is>
      </c>
      <c r="D8" s="10" t="inlineStr">
        <is>
          <t xml:space="preserve">Identity, target, start and end, and the actions or a recording, without asking the technician.</t>
        </is>
      </c>
      <c r="E8" s="10" t="inlineStr">
        <is>
          <t xml:space="preserve">How long are these logs kept? Can we export them ourselves? Can an administrator change them?</t>
        </is>
      </c>
      <c r="F8" s="10" t="inlineStr">
        <is>
          <t xml:space="preserve">Evidence</t>
        </is>
      </c>
      <c r="G8" s="6"/>
      <c r="H8" s="6"/>
      <c r="I8" s="6"/>
      <c r="J8" s="6"/>
    </row>
    <row r="9">
      <c r="A9" s="12">
        <v>5</v>
      </c>
      <c r="B9" s="11" t="inlineStr">
        <is>
          <t xml:space="preserve">Drop the connection mid-session</t>
        </is>
      </c>
      <c r="C9" s="10" t="inlineStr">
        <is>
          <t xml:space="preserve">Interrupt the network link during an active session, then restore it.</t>
        </is>
      </c>
      <c r="D9" s="10" t="inlineStr">
        <is>
          <t xml:space="preserve">No half-finished change left running, a reconnect that asks for authentication again, and the interruption in the log.</t>
        </is>
      </c>
      <c r="E9" s="10" t="inlineStr">
        <is>
          <t xml:space="preserve">What happens to a file transfer or program download in progress? What does the machine do meanwhile?</t>
        </is>
      </c>
      <c r="F9" s="10" t="inlineStr">
        <is>
          <t xml:space="preserve">Availability</t>
        </is>
      </c>
      <c r="G9" s="6"/>
      <c r="H9" s="6"/>
      <c r="I9" s="6"/>
      <c r="J9" s="6"/>
    </row>
    <row r="10">
      <c r="A10" s="12">
        <v>6</v>
      </c>
      <c r="B10" s="11" t="inlineStr">
        <is>
          <t xml:space="preserve">Emergency access with approval and an end time</t>
        </is>
      </c>
      <c r="C10" s="10" t="inlineStr">
        <is>
          <t xml:space="preserve">Request emergency access as if out of hours, approve it, and let it run to its end time.</t>
        </is>
      </c>
      <c r="D10" s="10" t="inlineStr">
        <is>
          <t xml:space="preserve">An approval record, access that ends at the set time without anyone removing it, and the whole event in the log.</t>
        </is>
      </c>
      <c r="E10" s="10" t="inlineStr">
        <is>
          <t xml:space="preserve">Who can approve? What if the approver cannot be reached? Can the end time be extended, and is that recorded?</t>
        </is>
      </c>
      <c r="F10" s="10" t="inlineStr">
        <is>
          <t xml:space="preserve">Availability, Evidence</t>
        </is>
      </c>
      <c r="G10" s="6"/>
      <c r="H10" s="6"/>
      <c r="I10" s="6"/>
      <c r="J10" s="6"/>
    </row>
    <row r="11">
      <c r="A11" s="12">
        <v>7</v>
      </c>
      <c r="B11" s="11" t="inlineStr">
        <is>
          <t xml:space="preserve">Export logs and configuration</t>
        </is>
      </c>
      <c r="C11" s="10" t="inlineStr">
        <is>
          <t xml:space="preserve">Export the session logs and the access configuration for one site.</t>
        </is>
      </c>
      <c r="D11" s="10" t="inlineStr">
        <is>
          <t xml:space="preserve">Files in a documented format you can read without the tool, covering users, permissions and sessions.</t>
        </is>
      </c>
      <c r="E11" s="10" t="inlineStr">
        <is>
          <t xml:space="preserve">Is export available at every price tier? Does it still work after the contract ends?</t>
        </is>
      </c>
      <c r="F11" s="10" t="inlineStr">
        <is>
          <t xml:space="preserve">Evidence, Fit and commercial</t>
        </is>
      </c>
      <c r="G11" s="6"/>
      <c r="H11" s="6"/>
      <c r="I11" s="6"/>
      <c r="J11" s="6"/>
    </row>
  </sheetData>
  <mergeCells count="1">
    <mergeCell ref="A2:J2"/>
  </mergeCells>
  <dataValidations count="1">
    <dataValidation type="list" allowBlank="1" showErrorMessage="1" errorTitle="Choose from the list" error="Choose one of: Verified in demo, Documented only, Claimed, Not answered, Not applicable." sqref="G5:I11">
      <formula1>"Verified in demo,Documented only,Claimed,Not answered,Not applicable"</formula1>
    </dataValidation>
  </dataValidations>
  <pageMargins left="0.4" right="0.4" top="0.5" bottom="0.5" header="0.3" footer="0.3"/>
  <pageSetup paperSize="9" orientation="landscape" fitToWidth="1" fitToHeight="0"/>
</worksheet>
</file>

<file path=xl/worksheets/sheet6.xml><?xml version="1.0" encoding="utf-8"?>
<worksheet xmlns="http://schemas.openxmlformats.org/spreadsheetml/2006/main" xmlns:r="http://schemas.openxmlformats.org/officeDocument/2006/relationships">
  <sheetPr>
    <pageSetUpPr fitToPage="1"/>
  </sheetPr>
  <sheetViews>
    <sheetView workbookViewId="0">
      <pane xSplit="1" ySplit="6" topLeftCell="B7" activePane="bottomRight" state="frozen"/>
      <selection pane="bottomRight" activeCell="B7" sqref="B7"/>
    </sheetView>
  </sheetViews>
  <sheetFormatPr defaultRowHeight="15"/>
  <cols>
    <col min="1" max="1" width="44" customWidth="1"/>
    <col min="2" max="2" width="34" customWidth="1"/>
    <col min="3" max="3" width="34" customWidth="1"/>
    <col min="4" max="4" width="34" customWidth="1"/>
  </cols>
  <sheetData>
    <row r="1">
      <c r="A1" s="5" t="inlineStr">
        <is>
          <t xml:space="preserve">Summary</t>
        </is>
      </c>
    </row>
    <row r="2">
      <c r="A2" s="8" t="inlineStr">
        <is>
          <t xml:space="preserve">Formulas only. No overall score: compare the evidence behind each Must row, not a number.</t>
        </is>
      </c>
    </row>
    <row r="4">
      <c r="A4" s="11" t="inlineStr">
        <is>
          <t xml:space="preserve">Buyer type</t>
        </is>
      </c>
      <c r="B4" s="10">
        <f>IF(BuyerType="","Choose a buyer type on the Context sheet",BuyerType)</f>
      </c>
    </row>
    <row r="6" ht="22" customHeight="1">
      <c r="A6" s="1" t="inlineStr">
        <is>
          <t xml:space="preserve">Must rows for this buyer type</t>
        </is>
      </c>
      <c r="B6" s="1">
        <f>'Vendor comparison'!$D$1</f>
      </c>
      <c r="C6" s="1">
        <f>'Vendor comparison'!$G$1</f>
      </c>
      <c r="D6" s="1">
        <f>'Vendor comparison'!$J$1</f>
      </c>
    </row>
    <row r="7">
      <c r="A7" s="11" t="inlineStr">
        <is>
          <t xml:space="preserve">Must rows</t>
        </is>
      </c>
      <c r="B7" s="12">
        <f>COUNTIF('Vendor comparison'!$C$3:$C$33,"Must")</f>
      </c>
      <c r="C7" s="12">
        <f>COUNTIF('Vendor comparison'!$C$3:$C$33,"Must")</f>
      </c>
      <c r="D7" s="12">
        <f>COUNTIF('Vendor comparison'!$C$3:$C$33,"Must")</f>
      </c>
    </row>
    <row r="8">
      <c r="A8" s="11" t="inlineStr">
        <is>
          <t xml:space="preserve">Verified in demo</t>
        </is>
      </c>
      <c r="B8" s="12">
        <f>COUNTIFS('Vendor comparison'!$C$3:$C$33,"Must",'Vendor comparison'!$E$3:$E$33,"Verified in demo")</f>
      </c>
      <c r="C8" s="12">
        <f>COUNTIFS('Vendor comparison'!$C$3:$C$33,"Must",'Vendor comparison'!$H$3:$H$33,"Verified in demo")</f>
      </c>
      <c r="D8" s="12">
        <f>COUNTIFS('Vendor comparison'!$C$3:$C$33,"Must",'Vendor comparison'!$K$3:$K$33,"Verified in demo")</f>
      </c>
    </row>
    <row r="9">
      <c r="A9" s="11" t="inlineStr">
        <is>
          <t xml:space="preserve">Documented only</t>
        </is>
      </c>
      <c r="B9" s="12">
        <f>COUNTIFS('Vendor comparison'!$C$3:$C$33,"Must",'Vendor comparison'!$E$3:$E$33,"Documented only")</f>
      </c>
      <c r="C9" s="12">
        <f>COUNTIFS('Vendor comparison'!$C$3:$C$33,"Must",'Vendor comparison'!$H$3:$H$33,"Documented only")</f>
      </c>
      <c r="D9" s="12">
        <f>COUNTIFS('Vendor comparison'!$C$3:$C$33,"Must",'Vendor comparison'!$K$3:$K$33,"Documented only")</f>
      </c>
    </row>
    <row r="10">
      <c r="A10" s="11" t="inlineStr">
        <is>
          <t xml:space="preserve">Claimed</t>
        </is>
      </c>
      <c r="B10" s="12">
        <f>COUNTIFS('Vendor comparison'!$C$3:$C$33,"Must",'Vendor comparison'!$E$3:$E$33,"Claimed")</f>
      </c>
      <c r="C10" s="12">
        <f>COUNTIFS('Vendor comparison'!$C$3:$C$33,"Must",'Vendor comparison'!$H$3:$H$33,"Claimed")</f>
      </c>
      <c r="D10" s="12">
        <f>COUNTIFS('Vendor comparison'!$C$3:$C$33,"Must",'Vendor comparison'!$K$3:$K$33,"Claimed")</f>
      </c>
    </row>
    <row r="11">
      <c r="A11" s="11" t="inlineStr">
        <is>
          <t xml:space="preserve">Not applicable</t>
        </is>
      </c>
      <c r="B11" s="12">
        <f>COUNTIFS('Vendor comparison'!$C$3:$C$33,"Must",'Vendor comparison'!$E$3:$E$33,"Not applicable")</f>
      </c>
      <c r="C11" s="12">
        <f>COUNTIFS('Vendor comparison'!$C$3:$C$33,"Must",'Vendor comparison'!$H$3:$H$33,"Not applicable")</f>
      </c>
      <c r="D11" s="12">
        <f>COUNTIFS('Vendor comparison'!$C$3:$C$33,"Must",'Vendor comparison'!$K$3:$K$33,"Not applicable")</f>
      </c>
    </row>
    <row r="12">
      <c r="A12" s="11" t="inlineStr">
        <is>
          <t xml:space="preserve">Not answered (including blank)</t>
        </is>
      </c>
      <c r="B12" s="12">
        <f>B7-B8-B9-B10-B11</f>
      </c>
      <c r="C12" s="12">
        <f>C7-C8-C9-C10-C11</f>
      </c>
      <c r="D12" s="12">
        <f>D7-D8-D9-D10-D11</f>
      </c>
    </row>
    <row r="13">
      <c r="A13" s="11" t="inlineStr">
        <is>
          <t xml:space="preserve">Open (not verified in demo, not N/A)</t>
        </is>
      </c>
      <c r="B13" s="12">
        <f>B7-B8-B11</f>
      </c>
      <c r="C13" s="12">
        <f>C7-C8-C11</f>
      </c>
      <c r="D13" s="12">
        <f>D7-D8-D11</f>
      </c>
    </row>
    <row r="15">
      <c r="A15" s="9" t="inlineStr">
        <is>
          <t xml:space="preserve">Open Must rows, in checklist order</t>
        </is>
      </c>
      <c r="B15" s="9" t="inlineStr">
        <is>
          <t xml:space="preserve"/>
        </is>
      </c>
      <c r="C15" s="9" t="inlineStr">
        <is>
          <t xml:space="preserve"/>
        </is>
      </c>
      <c r="D15" s="9" t="inlineStr">
        <is>
          <t xml:space="preserve"/>
        </is>
      </c>
    </row>
    <row r="16" ht="22" customHeight="1">
      <c r="A16" s="1" t="inlineStr">
        <is>
          <t xml:space="preserve">#</t>
        </is>
      </c>
      <c r="B16" s="1">
        <f>'Vendor comparison'!$D$1</f>
      </c>
      <c r="C16" s="1">
        <f>'Vendor comparison'!$G$1</f>
      </c>
      <c r="D16" s="1">
        <f>'Vendor comparison'!$J$1</f>
      </c>
    </row>
    <row r="17">
      <c r="A17" s="12">
        <v>1</v>
      </c>
      <c r="B17" s="10">
        <f>IFERROR(INDEX('Vendor comparison'!$B$3:$B$33,MATCH($A17,'Vendor comparison'!$M$3:$M$33,0)),"")</f>
      </c>
      <c r="C17" s="10">
        <f>IFERROR(INDEX('Vendor comparison'!$B$3:$B$33,MATCH($A17,'Vendor comparison'!$N$3:$N$33,0)),"")</f>
      </c>
      <c r="D17" s="10">
        <f>IFERROR(INDEX('Vendor comparison'!$B$3:$B$33,MATCH($A17,'Vendor comparison'!$O$3:$O$33,0)),"")</f>
      </c>
    </row>
    <row r="18">
      <c r="A18" s="12">
        <v>2</v>
      </c>
      <c r="B18" s="10">
        <f>IFERROR(INDEX('Vendor comparison'!$B$3:$B$33,MATCH($A18,'Vendor comparison'!$M$3:$M$33,0)),"")</f>
      </c>
      <c r="C18" s="10">
        <f>IFERROR(INDEX('Vendor comparison'!$B$3:$B$33,MATCH($A18,'Vendor comparison'!$N$3:$N$33,0)),"")</f>
      </c>
      <c r="D18" s="10">
        <f>IFERROR(INDEX('Vendor comparison'!$B$3:$B$33,MATCH($A18,'Vendor comparison'!$O$3:$O$33,0)),"")</f>
      </c>
    </row>
    <row r="19">
      <c r="A19" s="12">
        <v>3</v>
      </c>
      <c r="B19" s="10">
        <f>IFERROR(INDEX('Vendor comparison'!$B$3:$B$33,MATCH($A19,'Vendor comparison'!$M$3:$M$33,0)),"")</f>
      </c>
      <c r="C19" s="10">
        <f>IFERROR(INDEX('Vendor comparison'!$B$3:$B$33,MATCH($A19,'Vendor comparison'!$N$3:$N$33,0)),"")</f>
      </c>
      <c r="D19" s="10">
        <f>IFERROR(INDEX('Vendor comparison'!$B$3:$B$33,MATCH($A19,'Vendor comparison'!$O$3:$O$33,0)),"")</f>
      </c>
    </row>
    <row r="20">
      <c r="A20" s="12">
        <v>4</v>
      </c>
      <c r="B20" s="10">
        <f>IFERROR(INDEX('Vendor comparison'!$B$3:$B$33,MATCH($A20,'Vendor comparison'!$M$3:$M$33,0)),"")</f>
      </c>
      <c r="C20" s="10">
        <f>IFERROR(INDEX('Vendor comparison'!$B$3:$B$33,MATCH($A20,'Vendor comparison'!$N$3:$N$33,0)),"")</f>
      </c>
      <c r="D20" s="10">
        <f>IFERROR(INDEX('Vendor comparison'!$B$3:$B$33,MATCH($A20,'Vendor comparison'!$O$3:$O$33,0)),"")</f>
      </c>
    </row>
    <row r="21">
      <c r="A21" s="12">
        <v>5</v>
      </c>
      <c r="B21" s="10">
        <f>IFERROR(INDEX('Vendor comparison'!$B$3:$B$33,MATCH($A21,'Vendor comparison'!$M$3:$M$33,0)),"")</f>
      </c>
      <c r="C21" s="10">
        <f>IFERROR(INDEX('Vendor comparison'!$B$3:$B$33,MATCH($A21,'Vendor comparison'!$N$3:$N$33,0)),"")</f>
      </c>
      <c r="D21" s="10">
        <f>IFERROR(INDEX('Vendor comparison'!$B$3:$B$33,MATCH($A21,'Vendor comparison'!$O$3:$O$33,0)),"")</f>
      </c>
    </row>
    <row r="22">
      <c r="A22" s="12">
        <v>6</v>
      </c>
      <c r="B22" s="10">
        <f>IFERROR(INDEX('Vendor comparison'!$B$3:$B$33,MATCH($A22,'Vendor comparison'!$M$3:$M$33,0)),"")</f>
      </c>
      <c r="C22" s="10">
        <f>IFERROR(INDEX('Vendor comparison'!$B$3:$B$33,MATCH($A22,'Vendor comparison'!$N$3:$N$33,0)),"")</f>
      </c>
      <c r="D22" s="10">
        <f>IFERROR(INDEX('Vendor comparison'!$B$3:$B$33,MATCH($A22,'Vendor comparison'!$O$3:$O$33,0)),"")</f>
      </c>
    </row>
    <row r="23">
      <c r="A23" s="12">
        <v>7</v>
      </c>
      <c r="B23" s="10">
        <f>IFERROR(INDEX('Vendor comparison'!$B$3:$B$33,MATCH($A23,'Vendor comparison'!$M$3:$M$33,0)),"")</f>
      </c>
      <c r="C23" s="10">
        <f>IFERROR(INDEX('Vendor comparison'!$B$3:$B$33,MATCH($A23,'Vendor comparison'!$N$3:$N$33,0)),"")</f>
      </c>
      <c r="D23" s="10">
        <f>IFERROR(INDEX('Vendor comparison'!$B$3:$B$33,MATCH($A23,'Vendor comparison'!$O$3:$O$33,0)),"")</f>
      </c>
    </row>
    <row r="24">
      <c r="A24" s="12">
        <v>8</v>
      </c>
      <c r="B24" s="10">
        <f>IFERROR(INDEX('Vendor comparison'!$B$3:$B$33,MATCH($A24,'Vendor comparison'!$M$3:$M$33,0)),"")</f>
      </c>
      <c r="C24" s="10">
        <f>IFERROR(INDEX('Vendor comparison'!$B$3:$B$33,MATCH($A24,'Vendor comparison'!$N$3:$N$33,0)),"")</f>
      </c>
      <c r="D24" s="10">
        <f>IFERROR(INDEX('Vendor comparison'!$B$3:$B$33,MATCH($A24,'Vendor comparison'!$O$3:$O$33,0)),"")</f>
      </c>
    </row>
    <row r="25">
      <c r="A25" s="12">
        <v>9</v>
      </c>
      <c r="B25" s="10">
        <f>IFERROR(INDEX('Vendor comparison'!$B$3:$B$33,MATCH($A25,'Vendor comparison'!$M$3:$M$33,0)),"")</f>
      </c>
      <c r="C25" s="10">
        <f>IFERROR(INDEX('Vendor comparison'!$B$3:$B$33,MATCH($A25,'Vendor comparison'!$N$3:$N$33,0)),"")</f>
      </c>
      <c r="D25" s="10">
        <f>IFERROR(INDEX('Vendor comparison'!$B$3:$B$33,MATCH($A25,'Vendor comparison'!$O$3:$O$33,0)),"")</f>
      </c>
    </row>
    <row r="26">
      <c r="A26" s="12">
        <v>10</v>
      </c>
      <c r="B26" s="10">
        <f>IFERROR(INDEX('Vendor comparison'!$B$3:$B$33,MATCH($A26,'Vendor comparison'!$M$3:$M$33,0)),"")</f>
      </c>
      <c r="C26" s="10">
        <f>IFERROR(INDEX('Vendor comparison'!$B$3:$B$33,MATCH($A26,'Vendor comparison'!$N$3:$N$33,0)),"")</f>
      </c>
      <c r="D26" s="10">
        <f>IFERROR(INDEX('Vendor comparison'!$B$3:$B$33,MATCH($A26,'Vendor comparison'!$O$3:$O$33,0)),"")</f>
      </c>
    </row>
    <row r="27">
      <c r="A27" s="12">
        <v>11</v>
      </c>
      <c r="B27" s="10">
        <f>IFERROR(INDEX('Vendor comparison'!$B$3:$B$33,MATCH($A27,'Vendor comparison'!$M$3:$M$33,0)),"")</f>
      </c>
      <c r="C27" s="10">
        <f>IFERROR(INDEX('Vendor comparison'!$B$3:$B$33,MATCH($A27,'Vendor comparison'!$N$3:$N$33,0)),"")</f>
      </c>
      <c r="D27" s="10">
        <f>IFERROR(INDEX('Vendor comparison'!$B$3:$B$33,MATCH($A27,'Vendor comparison'!$O$3:$O$33,0)),"")</f>
      </c>
    </row>
    <row r="28">
      <c r="A28" s="12">
        <v>12</v>
      </c>
      <c r="B28" s="10">
        <f>IFERROR(INDEX('Vendor comparison'!$B$3:$B$33,MATCH($A28,'Vendor comparison'!$M$3:$M$33,0)),"")</f>
      </c>
      <c r="C28" s="10">
        <f>IFERROR(INDEX('Vendor comparison'!$B$3:$B$33,MATCH($A28,'Vendor comparison'!$N$3:$N$33,0)),"")</f>
      </c>
      <c r="D28" s="10">
        <f>IFERROR(INDEX('Vendor comparison'!$B$3:$B$33,MATCH($A28,'Vendor comparison'!$O$3:$O$33,0)),"")</f>
      </c>
    </row>
    <row r="29">
      <c r="A29" s="12">
        <v>13</v>
      </c>
      <c r="B29" s="10">
        <f>IFERROR(INDEX('Vendor comparison'!$B$3:$B$33,MATCH($A29,'Vendor comparison'!$M$3:$M$33,0)),"")</f>
      </c>
      <c r="C29" s="10">
        <f>IFERROR(INDEX('Vendor comparison'!$B$3:$B$33,MATCH($A29,'Vendor comparison'!$N$3:$N$33,0)),"")</f>
      </c>
      <c r="D29" s="10">
        <f>IFERROR(INDEX('Vendor comparison'!$B$3:$B$33,MATCH($A29,'Vendor comparison'!$O$3:$O$33,0)),"")</f>
      </c>
    </row>
    <row r="30">
      <c r="A30" s="12">
        <v>14</v>
      </c>
      <c r="B30" s="10">
        <f>IFERROR(INDEX('Vendor comparison'!$B$3:$B$33,MATCH($A30,'Vendor comparison'!$M$3:$M$33,0)),"")</f>
      </c>
      <c r="C30" s="10">
        <f>IFERROR(INDEX('Vendor comparison'!$B$3:$B$33,MATCH($A30,'Vendor comparison'!$N$3:$N$33,0)),"")</f>
      </c>
      <c r="D30" s="10">
        <f>IFERROR(INDEX('Vendor comparison'!$B$3:$B$33,MATCH($A30,'Vendor comparison'!$O$3:$O$33,0)),"")</f>
      </c>
    </row>
    <row r="31">
      <c r="A31" s="12">
        <v>15</v>
      </c>
      <c r="B31" s="10">
        <f>IFERROR(INDEX('Vendor comparison'!$B$3:$B$33,MATCH($A31,'Vendor comparison'!$M$3:$M$33,0)),"")</f>
      </c>
      <c r="C31" s="10">
        <f>IFERROR(INDEX('Vendor comparison'!$B$3:$B$33,MATCH($A31,'Vendor comparison'!$N$3:$N$33,0)),"")</f>
      </c>
      <c r="D31" s="10">
        <f>IFERROR(INDEX('Vendor comparison'!$B$3:$B$33,MATCH($A31,'Vendor comparison'!$O$3:$O$33,0)),"")</f>
      </c>
    </row>
    <row r="32">
      <c r="A32" s="12">
        <v>16</v>
      </c>
      <c r="B32" s="10">
        <f>IFERROR(INDEX('Vendor comparison'!$B$3:$B$33,MATCH($A32,'Vendor comparison'!$M$3:$M$33,0)),"")</f>
      </c>
      <c r="C32" s="10">
        <f>IFERROR(INDEX('Vendor comparison'!$B$3:$B$33,MATCH($A32,'Vendor comparison'!$N$3:$N$33,0)),"")</f>
      </c>
      <c r="D32" s="10">
        <f>IFERROR(INDEX('Vendor comparison'!$B$3:$B$33,MATCH($A32,'Vendor comparison'!$O$3:$O$33,0)),"")</f>
      </c>
    </row>
    <row r="33">
      <c r="A33" s="12">
        <v>17</v>
      </c>
      <c r="B33" s="10">
        <f>IFERROR(INDEX('Vendor comparison'!$B$3:$B$33,MATCH($A33,'Vendor comparison'!$M$3:$M$33,0)),"")</f>
      </c>
      <c r="C33" s="10">
        <f>IFERROR(INDEX('Vendor comparison'!$B$3:$B$33,MATCH($A33,'Vendor comparison'!$N$3:$N$33,0)),"")</f>
      </c>
      <c r="D33" s="10">
        <f>IFERROR(INDEX('Vendor comparison'!$B$3:$B$33,MATCH($A33,'Vendor comparison'!$O$3:$O$33,0)),"")</f>
      </c>
    </row>
    <row r="34">
      <c r="A34" s="12">
        <v>18</v>
      </c>
      <c r="B34" s="10">
        <f>IFERROR(INDEX('Vendor comparison'!$B$3:$B$33,MATCH($A34,'Vendor comparison'!$M$3:$M$33,0)),"")</f>
      </c>
      <c r="C34" s="10">
        <f>IFERROR(INDEX('Vendor comparison'!$B$3:$B$33,MATCH($A34,'Vendor comparison'!$N$3:$N$33,0)),"")</f>
      </c>
      <c r="D34" s="10">
        <f>IFERROR(INDEX('Vendor comparison'!$B$3:$B$33,MATCH($A34,'Vendor comparison'!$O$3:$O$33,0)),"")</f>
      </c>
    </row>
    <row r="35">
      <c r="A35" s="12">
        <v>19</v>
      </c>
      <c r="B35" s="10">
        <f>IFERROR(INDEX('Vendor comparison'!$B$3:$B$33,MATCH($A35,'Vendor comparison'!$M$3:$M$33,0)),"")</f>
      </c>
      <c r="C35" s="10">
        <f>IFERROR(INDEX('Vendor comparison'!$B$3:$B$33,MATCH($A35,'Vendor comparison'!$N$3:$N$33,0)),"")</f>
      </c>
      <c r="D35" s="10">
        <f>IFERROR(INDEX('Vendor comparison'!$B$3:$B$33,MATCH($A35,'Vendor comparison'!$O$3:$O$33,0)),"")</f>
      </c>
    </row>
    <row r="36">
      <c r="A36" s="12">
        <v>20</v>
      </c>
      <c r="B36" s="10">
        <f>IFERROR(INDEX('Vendor comparison'!$B$3:$B$33,MATCH($A36,'Vendor comparison'!$M$3:$M$33,0)),"")</f>
      </c>
      <c r="C36" s="10">
        <f>IFERROR(INDEX('Vendor comparison'!$B$3:$B$33,MATCH($A36,'Vendor comparison'!$N$3:$N$33,0)),"")</f>
      </c>
      <c r="D36" s="10">
        <f>IFERROR(INDEX('Vendor comparison'!$B$3:$B$33,MATCH($A36,'Vendor comparison'!$O$3:$O$33,0)),"")</f>
      </c>
    </row>
    <row r="37">
      <c r="A37" s="12">
        <v>21</v>
      </c>
      <c r="B37" s="10">
        <f>IFERROR(INDEX('Vendor comparison'!$B$3:$B$33,MATCH($A37,'Vendor comparison'!$M$3:$M$33,0)),"")</f>
      </c>
      <c r="C37" s="10">
        <f>IFERROR(INDEX('Vendor comparison'!$B$3:$B$33,MATCH($A37,'Vendor comparison'!$N$3:$N$33,0)),"")</f>
      </c>
      <c r="D37" s="10">
        <f>IFERROR(INDEX('Vendor comparison'!$B$3:$B$33,MATCH($A37,'Vendor comparison'!$O$3:$O$33,0)),"")</f>
      </c>
    </row>
    <row r="38">
      <c r="A38" s="12">
        <v>22</v>
      </c>
      <c r="B38" s="10">
        <f>IFERROR(INDEX('Vendor comparison'!$B$3:$B$33,MATCH($A38,'Vendor comparison'!$M$3:$M$33,0)),"")</f>
      </c>
      <c r="C38" s="10">
        <f>IFERROR(INDEX('Vendor comparison'!$B$3:$B$33,MATCH($A38,'Vendor comparison'!$N$3:$N$33,0)),"")</f>
      </c>
      <c r="D38" s="10">
        <f>IFERROR(INDEX('Vendor comparison'!$B$3:$B$33,MATCH($A38,'Vendor comparison'!$O$3:$O$33,0)),"")</f>
      </c>
    </row>
    <row r="39">
      <c r="A39" s="12">
        <v>23</v>
      </c>
      <c r="B39" s="10">
        <f>IFERROR(INDEX('Vendor comparison'!$B$3:$B$33,MATCH($A39,'Vendor comparison'!$M$3:$M$33,0)),"")</f>
      </c>
      <c r="C39" s="10">
        <f>IFERROR(INDEX('Vendor comparison'!$B$3:$B$33,MATCH($A39,'Vendor comparison'!$N$3:$N$33,0)),"")</f>
      </c>
      <c r="D39" s="10">
        <f>IFERROR(INDEX('Vendor comparison'!$B$3:$B$33,MATCH($A39,'Vendor comparison'!$O$3:$O$33,0)),"")</f>
      </c>
    </row>
    <row r="40">
      <c r="A40" s="12">
        <v>24</v>
      </c>
      <c r="B40" s="10">
        <f>IFERROR(INDEX('Vendor comparison'!$B$3:$B$33,MATCH($A40,'Vendor comparison'!$M$3:$M$33,0)),"")</f>
      </c>
      <c r="C40" s="10">
        <f>IFERROR(INDEX('Vendor comparison'!$B$3:$B$33,MATCH($A40,'Vendor comparison'!$N$3:$N$33,0)),"")</f>
      </c>
      <c r="D40" s="10">
        <f>IFERROR(INDEX('Vendor comparison'!$B$3:$B$33,MATCH($A40,'Vendor comparison'!$O$3:$O$33,0)),"")</f>
      </c>
    </row>
    <row r="41">
      <c r="A41" s="12">
        <v>25</v>
      </c>
      <c r="B41" s="10">
        <f>IFERROR(INDEX('Vendor comparison'!$B$3:$B$33,MATCH($A41,'Vendor comparison'!$M$3:$M$33,0)),"")</f>
      </c>
      <c r="C41" s="10">
        <f>IFERROR(INDEX('Vendor comparison'!$B$3:$B$33,MATCH($A41,'Vendor comparison'!$N$3:$N$33,0)),"")</f>
      </c>
      <c r="D41" s="10">
        <f>IFERROR(INDEX('Vendor comparison'!$B$3:$B$33,MATCH($A41,'Vendor comparison'!$O$3:$O$33,0)),"")</f>
      </c>
    </row>
    <row r="42">
      <c r="A42" s="12">
        <v>26</v>
      </c>
      <c r="B42" s="10">
        <f>IFERROR(INDEX('Vendor comparison'!$B$3:$B$33,MATCH($A42,'Vendor comparison'!$M$3:$M$33,0)),"")</f>
      </c>
      <c r="C42" s="10">
        <f>IFERROR(INDEX('Vendor comparison'!$B$3:$B$33,MATCH($A42,'Vendor comparison'!$N$3:$N$33,0)),"")</f>
      </c>
      <c r="D42" s="10">
        <f>IFERROR(INDEX('Vendor comparison'!$B$3:$B$33,MATCH($A42,'Vendor comparison'!$O$3:$O$33,0)),"")</f>
      </c>
    </row>
    <row r="43">
      <c r="A43" s="12">
        <v>27</v>
      </c>
      <c r="B43" s="10">
        <f>IFERROR(INDEX('Vendor comparison'!$B$3:$B$33,MATCH($A43,'Vendor comparison'!$M$3:$M$33,0)),"")</f>
      </c>
      <c r="C43" s="10">
        <f>IFERROR(INDEX('Vendor comparison'!$B$3:$B$33,MATCH($A43,'Vendor comparison'!$N$3:$N$33,0)),"")</f>
      </c>
      <c r="D43" s="10">
        <f>IFERROR(INDEX('Vendor comparison'!$B$3:$B$33,MATCH($A43,'Vendor comparison'!$O$3:$O$33,0)),"")</f>
      </c>
    </row>
    <row r="44">
      <c r="A44" s="12">
        <v>28</v>
      </c>
      <c r="B44" s="10">
        <f>IFERROR(INDEX('Vendor comparison'!$B$3:$B$33,MATCH($A44,'Vendor comparison'!$M$3:$M$33,0)),"")</f>
      </c>
      <c r="C44" s="10">
        <f>IFERROR(INDEX('Vendor comparison'!$B$3:$B$33,MATCH($A44,'Vendor comparison'!$N$3:$N$33,0)),"")</f>
      </c>
      <c r="D44" s="10">
        <f>IFERROR(INDEX('Vendor comparison'!$B$3:$B$33,MATCH($A44,'Vendor comparison'!$O$3:$O$33,0)),"")</f>
      </c>
    </row>
    <row r="45">
      <c r="A45" s="12">
        <v>29</v>
      </c>
      <c r="B45" s="10">
        <f>IFERROR(INDEX('Vendor comparison'!$B$3:$B$33,MATCH($A45,'Vendor comparison'!$M$3:$M$33,0)),"")</f>
      </c>
      <c r="C45" s="10">
        <f>IFERROR(INDEX('Vendor comparison'!$B$3:$B$33,MATCH($A45,'Vendor comparison'!$N$3:$N$33,0)),"")</f>
      </c>
      <c r="D45" s="10">
        <f>IFERROR(INDEX('Vendor comparison'!$B$3:$B$33,MATCH($A45,'Vendor comparison'!$O$3:$O$33,0)),"")</f>
      </c>
    </row>
    <row r="46">
      <c r="A46" s="12">
        <v>30</v>
      </c>
      <c r="B46" s="10">
        <f>IFERROR(INDEX('Vendor comparison'!$B$3:$B$33,MATCH($A46,'Vendor comparison'!$M$3:$M$33,0)),"")</f>
      </c>
      <c r="C46" s="10">
        <f>IFERROR(INDEX('Vendor comparison'!$B$3:$B$33,MATCH($A46,'Vendor comparison'!$N$3:$N$33,0)),"")</f>
      </c>
      <c r="D46" s="10">
        <f>IFERROR(INDEX('Vendor comparison'!$B$3:$B$33,MATCH($A46,'Vendor comparison'!$O$3:$O$33,0)),"")</f>
      </c>
    </row>
    <row r="47">
      <c r="A47" s="12">
        <v>31</v>
      </c>
      <c r="B47" s="10">
        <f>IFERROR(INDEX('Vendor comparison'!$B$3:$B$33,MATCH($A47,'Vendor comparison'!$M$3:$M$33,0)),"")</f>
      </c>
      <c r="C47" s="10">
        <f>IFERROR(INDEX('Vendor comparison'!$B$3:$B$33,MATCH($A47,'Vendor comparison'!$N$3:$N$33,0)),"")</f>
      </c>
      <c r="D47" s="10">
        <f>IFERROR(INDEX('Vendor comparison'!$B$3:$B$33,MATCH($A47,'Vendor comparison'!$O$3:$O$33,0)),"")</f>
      </c>
    </row>
  </sheetData>
  <pageMargins left="0.4" right="0.4" top="0.5" bottom="0.5" header="0.3" footer="0.3"/>
  <pageSetup paperSize="9" orientation="portrait" fitToWidth="1" fitToHeight="0"/>
</worksheet>
</file>

<file path=xl/worksheets/sheet7.xml><?xml version="1.0" encoding="utf-8"?>
<worksheet xmlns="http://schemas.openxmlformats.org/spreadsheetml/2006/main" xmlns:r="http://schemas.openxmlformats.org/officeDocument/2006/relationships">
  <sheetPr>
    <pageSetUpPr fitToPage="1"/>
  </sheetPr>
  <sheetViews>
    <sheetView workbookViewId="0">
      <pane ySplit="4" topLeftCell="A5" activePane="bottomLeft" state="frozen"/>
      <selection pane="bottomLeft" activeCell="A5" sqref="A5"/>
    </sheetView>
  </sheetViews>
  <sheetFormatPr defaultRowHeight="15"/>
  <cols>
    <col min="1" max="1" width="5" customWidth="1"/>
    <col min="2" max="2" width="36" customWidth="1"/>
    <col min="3" max="3" width="22" customWidth="1"/>
    <col min="4" max="4" width="40" customWidth="1"/>
    <col min="5" max="5" width="22" customWidth="1"/>
    <col min="6" max="6" width="36" customWidth="1"/>
    <col min="7" max="7" width="18" customWidth="1"/>
    <col min="8" max="8" width="13" customWidth="1"/>
    <col min="9" max="9" width="13" customWidth="1"/>
    <col min="10" max="10" width="6" customWidth="1" hidden="1"/>
  </cols>
  <sheetData>
    <row r="1">
      <c r="A1" s="5" t="inlineStr">
        <is>
          <t xml:space="preserve">Action plan</t>
        </is>
      </c>
    </row>
    <row r="2">
      <c r="A2" s="8" t="inlineStr">
        <is>
          <t xml:space="preserve">The first 15 rows fill themselves with the Must rows still open for at least one vendor, in checklist order, with the evidence to collect. Before adding owners and dates, copy those rows and paste them as values, so your notes stay with the right item when statuses change. The last 10 rows are for items of your own.</t>
        </is>
      </c>
    </row>
    <row r="4" ht="32" customHeight="1">
      <c r="A4" s="1" t="inlineStr">
        <is>
          <t xml:space="preserve">#</t>
        </is>
      </c>
      <c r="B4" s="1" t="inlineStr">
        <is>
          <t xml:space="preserve">Unresolved item</t>
        </is>
      </c>
      <c r="C4" s="1" t="inlineStr">
        <is>
          <t xml:space="preserve">Open for</t>
        </is>
      </c>
      <c r="D4" s="1" t="inlineStr">
        <is>
          <t xml:space="preserve">Evidence to collect</t>
        </is>
      </c>
      <c r="E4" s="1" t="inlineStr">
        <is>
          <t xml:space="preserve">Stakeholders</t>
        </is>
      </c>
      <c r="F4" s="1" t="inlineStr">
        <is>
          <t xml:space="preserve">Next step</t>
        </is>
      </c>
      <c r="G4" s="1" t="inlineStr">
        <is>
          <t xml:space="preserve">Owner</t>
        </is>
      </c>
      <c r="H4" s="1" t="inlineStr">
        <is>
          <t xml:space="preserve">Date</t>
        </is>
      </c>
      <c r="I4" s="1" t="inlineStr">
        <is>
          <t xml:space="preserve">Status</t>
        </is>
      </c>
    </row>
    <row r="5">
      <c r="A5" s="12">
        <v>1</v>
      </c>
      <c r="B5" s="11">
        <f>IF($J5="","",INDEX('Vendor comparison'!$B$3:$B$33,$J5))</f>
      </c>
      <c r="C5" s="10">
        <f>IF($J5="","",MID(IF(INDEX('Vendor comparison'!$M$3:$M$33,$J5)&lt;&gt;"",", "&amp;'Vendor comparison'!$D$1,"")&amp;IF(INDEX('Vendor comparison'!$N$3:$N$33,$J5)&lt;&gt;"",", "&amp;'Vendor comparison'!$G$1,"")&amp;IF(INDEX('Vendor comparison'!$O$3:$O$33,$J5)&lt;&gt;"",", "&amp;'Vendor comparison'!$J$1,""),3,200))</f>
      </c>
      <c r="D5" s="10">
        <f>IF($J5="","",INDEX(Requirements!$E$2:$E$32,$J5))</f>
      </c>
      <c r="E5" s="6"/>
      <c r="F5" s="6"/>
      <c r="G5" s="6"/>
      <c r="H5" s="7"/>
      <c r="I5" s="6"/>
      <c r="J5">
        <f>IFERROR(MATCH($A5,'Vendor comparison'!$P$3:$P$33,0),"")</f>
      </c>
    </row>
    <row r="6">
      <c r="A6" s="12">
        <v>2</v>
      </c>
      <c r="B6" s="11">
        <f>IF($J6="","",INDEX('Vendor comparison'!$B$3:$B$33,$J6))</f>
      </c>
      <c r="C6" s="10">
        <f>IF($J6="","",MID(IF(INDEX('Vendor comparison'!$M$3:$M$33,$J6)&lt;&gt;"",", "&amp;'Vendor comparison'!$D$1,"")&amp;IF(INDEX('Vendor comparison'!$N$3:$N$33,$J6)&lt;&gt;"",", "&amp;'Vendor comparison'!$G$1,"")&amp;IF(INDEX('Vendor comparison'!$O$3:$O$33,$J6)&lt;&gt;"",", "&amp;'Vendor comparison'!$J$1,""),3,200))</f>
      </c>
      <c r="D6" s="10">
        <f>IF($J6="","",INDEX(Requirements!$E$2:$E$32,$J6))</f>
      </c>
      <c r="E6" s="6"/>
      <c r="F6" s="6"/>
      <c r="G6" s="6"/>
      <c r="H6" s="7"/>
      <c r="I6" s="6"/>
      <c r="J6">
        <f>IFERROR(MATCH($A6,'Vendor comparison'!$P$3:$P$33,0),"")</f>
      </c>
    </row>
    <row r="7">
      <c r="A7" s="12">
        <v>3</v>
      </c>
      <c r="B7" s="11">
        <f>IF($J7="","",INDEX('Vendor comparison'!$B$3:$B$33,$J7))</f>
      </c>
      <c r="C7" s="10">
        <f>IF($J7="","",MID(IF(INDEX('Vendor comparison'!$M$3:$M$33,$J7)&lt;&gt;"",", "&amp;'Vendor comparison'!$D$1,"")&amp;IF(INDEX('Vendor comparison'!$N$3:$N$33,$J7)&lt;&gt;"",", "&amp;'Vendor comparison'!$G$1,"")&amp;IF(INDEX('Vendor comparison'!$O$3:$O$33,$J7)&lt;&gt;"",", "&amp;'Vendor comparison'!$J$1,""),3,200))</f>
      </c>
      <c r="D7" s="10">
        <f>IF($J7="","",INDEX(Requirements!$E$2:$E$32,$J7))</f>
      </c>
      <c r="E7" s="6"/>
      <c r="F7" s="6"/>
      <c r="G7" s="6"/>
      <c r="H7" s="7"/>
      <c r="I7" s="6"/>
      <c r="J7">
        <f>IFERROR(MATCH($A7,'Vendor comparison'!$P$3:$P$33,0),"")</f>
      </c>
    </row>
    <row r="8">
      <c r="A8" s="12">
        <v>4</v>
      </c>
      <c r="B8" s="11">
        <f>IF($J8="","",INDEX('Vendor comparison'!$B$3:$B$33,$J8))</f>
      </c>
      <c r="C8" s="10">
        <f>IF($J8="","",MID(IF(INDEX('Vendor comparison'!$M$3:$M$33,$J8)&lt;&gt;"",", "&amp;'Vendor comparison'!$D$1,"")&amp;IF(INDEX('Vendor comparison'!$N$3:$N$33,$J8)&lt;&gt;"",", "&amp;'Vendor comparison'!$G$1,"")&amp;IF(INDEX('Vendor comparison'!$O$3:$O$33,$J8)&lt;&gt;"",", "&amp;'Vendor comparison'!$J$1,""),3,200))</f>
      </c>
      <c r="D8" s="10">
        <f>IF($J8="","",INDEX(Requirements!$E$2:$E$32,$J8))</f>
      </c>
      <c r="E8" s="6"/>
      <c r="F8" s="6"/>
      <c r="G8" s="6"/>
      <c r="H8" s="7"/>
      <c r="I8" s="6"/>
      <c r="J8">
        <f>IFERROR(MATCH($A8,'Vendor comparison'!$P$3:$P$33,0),"")</f>
      </c>
    </row>
    <row r="9">
      <c r="A9" s="12">
        <v>5</v>
      </c>
      <c r="B9" s="11">
        <f>IF($J9="","",INDEX('Vendor comparison'!$B$3:$B$33,$J9))</f>
      </c>
      <c r="C9" s="10">
        <f>IF($J9="","",MID(IF(INDEX('Vendor comparison'!$M$3:$M$33,$J9)&lt;&gt;"",", "&amp;'Vendor comparison'!$D$1,"")&amp;IF(INDEX('Vendor comparison'!$N$3:$N$33,$J9)&lt;&gt;"",", "&amp;'Vendor comparison'!$G$1,"")&amp;IF(INDEX('Vendor comparison'!$O$3:$O$33,$J9)&lt;&gt;"",", "&amp;'Vendor comparison'!$J$1,""),3,200))</f>
      </c>
      <c r="D9" s="10">
        <f>IF($J9="","",INDEX(Requirements!$E$2:$E$32,$J9))</f>
      </c>
      <c r="E9" s="6"/>
      <c r="F9" s="6"/>
      <c r="G9" s="6"/>
      <c r="H9" s="7"/>
      <c r="I9" s="6"/>
      <c r="J9">
        <f>IFERROR(MATCH($A9,'Vendor comparison'!$P$3:$P$33,0),"")</f>
      </c>
    </row>
    <row r="10">
      <c r="A10" s="12">
        <v>6</v>
      </c>
      <c r="B10" s="11">
        <f>IF($J10="","",INDEX('Vendor comparison'!$B$3:$B$33,$J10))</f>
      </c>
      <c r="C10" s="10">
        <f>IF($J10="","",MID(IF(INDEX('Vendor comparison'!$M$3:$M$33,$J10)&lt;&gt;"",", "&amp;'Vendor comparison'!$D$1,"")&amp;IF(INDEX('Vendor comparison'!$N$3:$N$33,$J10)&lt;&gt;"",", "&amp;'Vendor comparison'!$G$1,"")&amp;IF(INDEX('Vendor comparison'!$O$3:$O$33,$J10)&lt;&gt;"",", "&amp;'Vendor comparison'!$J$1,""),3,200))</f>
      </c>
      <c r="D10" s="10">
        <f>IF($J10="","",INDEX(Requirements!$E$2:$E$32,$J10))</f>
      </c>
      <c r="E10" s="6"/>
      <c r="F10" s="6"/>
      <c r="G10" s="6"/>
      <c r="H10" s="7"/>
      <c r="I10" s="6"/>
      <c r="J10">
        <f>IFERROR(MATCH($A10,'Vendor comparison'!$P$3:$P$33,0),"")</f>
      </c>
    </row>
    <row r="11">
      <c r="A11" s="12">
        <v>7</v>
      </c>
      <c r="B11" s="11">
        <f>IF($J11="","",INDEX('Vendor comparison'!$B$3:$B$33,$J11))</f>
      </c>
      <c r="C11" s="10">
        <f>IF($J11="","",MID(IF(INDEX('Vendor comparison'!$M$3:$M$33,$J11)&lt;&gt;"",", "&amp;'Vendor comparison'!$D$1,"")&amp;IF(INDEX('Vendor comparison'!$N$3:$N$33,$J11)&lt;&gt;"",", "&amp;'Vendor comparison'!$G$1,"")&amp;IF(INDEX('Vendor comparison'!$O$3:$O$33,$J11)&lt;&gt;"",", "&amp;'Vendor comparison'!$J$1,""),3,200))</f>
      </c>
      <c r="D11" s="10">
        <f>IF($J11="","",INDEX(Requirements!$E$2:$E$32,$J11))</f>
      </c>
      <c r="E11" s="6"/>
      <c r="F11" s="6"/>
      <c r="G11" s="6"/>
      <c r="H11" s="7"/>
      <c r="I11" s="6"/>
      <c r="J11">
        <f>IFERROR(MATCH($A11,'Vendor comparison'!$P$3:$P$33,0),"")</f>
      </c>
    </row>
    <row r="12">
      <c r="A12" s="12">
        <v>8</v>
      </c>
      <c r="B12" s="11">
        <f>IF($J12="","",INDEX('Vendor comparison'!$B$3:$B$33,$J12))</f>
      </c>
      <c r="C12" s="10">
        <f>IF($J12="","",MID(IF(INDEX('Vendor comparison'!$M$3:$M$33,$J12)&lt;&gt;"",", "&amp;'Vendor comparison'!$D$1,"")&amp;IF(INDEX('Vendor comparison'!$N$3:$N$33,$J12)&lt;&gt;"",", "&amp;'Vendor comparison'!$G$1,"")&amp;IF(INDEX('Vendor comparison'!$O$3:$O$33,$J12)&lt;&gt;"",", "&amp;'Vendor comparison'!$J$1,""),3,200))</f>
      </c>
      <c r="D12" s="10">
        <f>IF($J12="","",INDEX(Requirements!$E$2:$E$32,$J12))</f>
      </c>
      <c r="E12" s="6"/>
      <c r="F12" s="6"/>
      <c r="G12" s="6"/>
      <c r="H12" s="7"/>
      <c r="I12" s="6"/>
      <c r="J12">
        <f>IFERROR(MATCH($A12,'Vendor comparison'!$P$3:$P$33,0),"")</f>
      </c>
    </row>
    <row r="13">
      <c r="A13" s="12">
        <v>9</v>
      </c>
      <c r="B13" s="11">
        <f>IF($J13="","",INDEX('Vendor comparison'!$B$3:$B$33,$J13))</f>
      </c>
      <c r="C13" s="10">
        <f>IF($J13="","",MID(IF(INDEX('Vendor comparison'!$M$3:$M$33,$J13)&lt;&gt;"",", "&amp;'Vendor comparison'!$D$1,"")&amp;IF(INDEX('Vendor comparison'!$N$3:$N$33,$J13)&lt;&gt;"",", "&amp;'Vendor comparison'!$G$1,"")&amp;IF(INDEX('Vendor comparison'!$O$3:$O$33,$J13)&lt;&gt;"",", "&amp;'Vendor comparison'!$J$1,""),3,200))</f>
      </c>
      <c r="D13" s="10">
        <f>IF($J13="","",INDEX(Requirements!$E$2:$E$32,$J13))</f>
      </c>
      <c r="E13" s="6"/>
      <c r="F13" s="6"/>
      <c r="G13" s="6"/>
      <c r="H13" s="7"/>
      <c r="I13" s="6"/>
      <c r="J13">
        <f>IFERROR(MATCH($A13,'Vendor comparison'!$P$3:$P$33,0),"")</f>
      </c>
    </row>
    <row r="14">
      <c r="A14" s="12">
        <v>10</v>
      </c>
      <c r="B14" s="11">
        <f>IF($J14="","",INDEX('Vendor comparison'!$B$3:$B$33,$J14))</f>
      </c>
      <c r="C14" s="10">
        <f>IF($J14="","",MID(IF(INDEX('Vendor comparison'!$M$3:$M$33,$J14)&lt;&gt;"",", "&amp;'Vendor comparison'!$D$1,"")&amp;IF(INDEX('Vendor comparison'!$N$3:$N$33,$J14)&lt;&gt;"",", "&amp;'Vendor comparison'!$G$1,"")&amp;IF(INDEX('Vendor comparison'!$O$3:$O$33,$J14)&lt;&gt;"",", "&amp;'Vendor comparison'!$J$1,""),3,200))</f>
      </c>
      <c r="D14" s="10">
        <f>IF($J14="","",INDEX(Requirements!$E$2:$E$32,$J14))</f>
      </c>
      <c r="E14" s="6"/>
      <c r="F14" s="6"/>
      <c r="G14" s="6"/>
      <c r="H14" s="7"/>
      <c r="I14" s="6"/>
      <c r="J14">
        <f>IFERROR(MATCH($A14,'Vendor comparison'!$P$3:$P$33,0),"")</f>
      </c>
    </row>
    <row r="15">
      <c r="A15" s="12">
        <v>11</v>
      </c>
      <c r="B15" s="11">
        <f>IF($J15="","",INDEX('Vendor comparison'!$B$3:$B$33,$J15))</f>
      </c>
      <c r="C15" s="10">
        <f>IF($J15="","",MID(IF(INDEX('Vendor comparison'!$M$3:$M$33,$J15)&lt;&gt;"",", "&amp;'Vendor comparison'!$D$1,"")&amp;IF(INDEX('Vendor comparison'!$N$3:$N$33,$J15)&lt;&gt;"",", "&amp;'Vendor comparison'!$G$1,"")&amp;IF(INDEX('Vendor comparison'!$O$3:$O$33,$J15)&lt;&gt;"",", "&amp;'Vendor comparison'!$J$1,""),3,200))</f>
      </c>
      <c r="D15" s="10">
        <f>IF($J15="","",INDEX(Requirements!$E$2:$E$32,$J15))</f>
      </c>
      <c r="E15" s="6"/>
      <c r="F15" s="6"/>
      <c r="G15" s="6"/>
      <c r="H15" s="7"/>
      <c r="I15" s="6"/>
      <c r="J15">
        <f>IFERROR(MATCH($A15,'Vendor comparison'!$P$3:$P$33,0),"")</f>
      </c>
    </row>
    <row r="16">
      <c r="A16" s="12">
        <v>12</v>
      </c>
      <c r="B16" s="11">
        <f>IF($J16="","",INDEX('Vendor comparison'!$B$3:$B$33,$J16))</f>
      </c>
      <c r="C16" s="10">
        <f>IF($J16="","",MID(IF(INDEX('Vendor comparison'!$M$3:$M$33,$J16)&lt;&gt;"",", "&amp;'Vendor comparison'!$D$1,"")&amp;IF(INDEX('Vendor comparison'!$N$3:$N$33,$J16)&lt;&gt;"",", "&amp;'Vendor comparison'!$G$1,"")&amp;IF(INDEX('Vendor comparison'!$O$3:$O$33,$J16)&lt;&gt;"",", "&amp;'Vendor comparison'!$J$1,""),3,200))</f>
      </c>
      <c r="D16" s="10">
        <f>IF($J16="","",INDEX(Requirements!$E$2:$E$32,$J16))</f>
      </c>
      <c r="E16" s="6"/>
      <c r="F16" s="6"/>
      <c r="G16" s="6"/>
      <c r="H16" s="7"/>
      <c r="I16" s="6"/>
      <c r="J16">
        <f>IFERROR(MATCH($A16,'Vendor comparison'!$P$3:$P$33,0),"")</f>
      </c>
    </row>
    <row r="17">
      <c r="A17" s="12">
        <v>13</v>
      </c>
      <c r="B17" s="11">
        <f>IF($J17="","",INDEX('Vendor comparison'!$B$3:$B$33,$J17))</f>
      </c>
      <c r="C17" s="10">
        <f>IF($J17="","",MID(IF(INDEX('Vendor comparison'!$M$3:$M$33,$J17)&lt;&gt;"",", "&amp;'Vendor comparison'!$D$1,"")&amp;IF(INDEX('Vendor comparison'!$N$3:$N$33,$J17)&lt;&gt;"",", "&amp;'Vendor comparison'!$G$1,"")&amp;IF(INDEX('Vendor comparison'!$O$3:$O$33,$J17)&lt;&gt;"",", "&amp;'Vendor comparison'!$J$1,""),3,200))</f>
      </c>
      <c r="D17" s="10">
        <f>IF($J17="","",INDEX(Requirements!$E$2:$E$32,$J17))</f>
      </c>
      <c r="E17" s="6"/>
      <c r="F17" s="6"/>
      <c r="G17" s="6"/>
      <c r="H17" s="7"/>
      <c r="I17" s="6"/>
      <c r="J17">
        <f>IFERROR(MATCH($A17,'Vendor comparison'!$P$3:$P$33,0),"")</f>
      </c>
    </row>
    <row r="18">
      <c r="A18" s="12">
        <v>14</v>
      </c>
      <c r="B18" s="11">
        <f>IF($J18="","",INDEX('Vendor comparison'!$B$3:$B$33,$J18))</f>
      </c>
      <c r="C18" s="10">
        <f>IF($J18="","",MID(IF(INDEX('Vendor comparison'!$M$3:$M$33,$J18)&lt;&gt;"",", "&amp;'Vendor comparison'!$D$1,"")&amp;IF(INDEX('Vendor comparison'!$N$3:$N$33,$J18)&lt;&gt;"",", "&amp;'Vendor comparison'!$G$1,"")&amp;IF(INDEX('Vendor comparison'!$O$3:$O$33,$J18)&lt;&gt;"",", "&amp;'Vendor comparison'!$J$1,""),3,200))</f>
      </c>
      <c r="D18" s="10">
        <f>IF($J18="","",INDEX(Requirements!$E$2:$E$32,$J18))</f>
      </c>
      <c r="E18" s="6"/>
      <c r="F18" s="6"/>
      <c r="G18" s="6"/>
      <c r="H18" s="7"/>
      <c r="I18" s="6"/>
      <c r="J18">
        <f>IFERROR(MATCH($A18,'Vendor comparison'!$P$3:$P$33,0),"")</f>
      </c>
    </row>
    <row r="19">
      <c r="A19" s="12">
        <v>15</v>
      </c>
      <c r="B19" s="11">
        <f>IF($J19="","",INDEX('Vendor comparison'!$B$3:$B$33,$J19))</f>
      </c>
      <c r="C19" s="10">
        <f>IF($J19="","",MID(IF(INDEX('Vendor comparison'!$M$3:$M$33,$J19)&lt;&gt;"",", "&amp;'Vendor comparison'!$D$1,"")&amp;IF(INDEX('Vendor comparison'!$N$3:$N$33,$J19)&lt;&gt;"",", "&amp;'Vendor comparison'!$G$1,"")&amp;IF(INDEX('Vendor comparison'!$O$3:$O$33,$J19)&lt;&gt;"",", "&amp;'Vendor comparison'!$J$1,""),3,200))</f>
      </c>
      <c r="D19" s="10">
        <f>IF($J19="","",INDEX(Requirements!$E$2:$E$32,$J19))</f>
      </c>
      <c r="E19" s="6"/>
      <c r="F19" s="6"/>
      <c r="G19" s="6"/>
      <c r="H19" s="7"/>
      <c r="I19" s="6"/>
      <c r="J19">
        <f>IFERROR(MATCH($A19,'Vendor comparison'!$P$3:$P$33,0),"")</f>
      </c>
    </row>
    <row r="20">
      <c r="A20" s="6"/>
      <c r="B20" s="6"/>
      <c r="C20" s="6"/>
      <c r="D20" s="6"/>
      <c r="E20" s="6"/>
      <c r="F20" s="6"/>
      <c r="G20" s="6"/>
      <c r="H20" s="7"/>
      <c r="I20" s="6"/>
    </row>
    <row r="21">
      <c r="A21" s="6"/>
      <c r="B21" s="6"/>
      <c r="C21" s="6"/>
      <c r="D21" s="6"/>
      <c r="E21" s="6"/>
      <c r="F21" s="6"/>
      <c r="G21" s="6"/>
      <c r="H21" s="7"/>
      <c r="I21" s="6"/>
    </row>
    <row r="22">
      <c r="A22" s="6"/>
      <c r="B22" s="6"/>
      <c r="C22" s="6"/>
      <c r="D22" s="6"/>
      <c r="E22" s="6"/>
      <c r="F22" s="6"/>
      <c r="G22" s="6"/>
      <c r="H22" s="7"/>
      <c r="I22" s="6"/>
    </row>
    <row r="23">
      <c r="A23" s="6"/>
      <c r="B23" s="6"/>
      <c r="C23" s="6"/>
      <c r="D23" s="6"/>
      <c r="E23" s="6"/>
      <c r="F23" s="6"/>
      <c r="G23" s="6"/>
      <c r="H23" s="7"/>
      <c r="I23" s="6"/>
    </row>
    <row r="24">
      <c r="A24" s="6"/>
      <c r="B24" s="6"/>
      <c r="C24" s="6"/>
      <c r="D24" s="6"/>
      <c r="E24" s="6"/>
      <c r="F24" s="6"/>
      <c r="G24" s="6"/>
      <c r="H24" s="7"/>
      <c r="I24" s="6"/>
    </row>
    <row r="25">
      <c r="A25" s="6"/>
      <c r="B25" s="6"/>
      <c r="C25" s="6"/>
      <c r="D25" s="6"/>
      <c r="E25" s="6"/>
      <c r="F25" s="6"/>
      <c r="G25" s="6"/>
      <c r="H25" s="7"/>
      <c r="I25" s="6"/>
    </row>
    <row r="26">
      <c r="A26" s="6"/>
      <c r="B26" s="6"/>
      <c r="C26" s="6"/>
      <c r="D26" s="6"/>
      <c r="E26" s="6"/>
      <c r="F26" s="6"/>
      <c r="G26" s="6"/>
      <c r="H26" s="7"/>
      <c r="I26" s="6"/>
    </row>
    <row r="27">
      <c r="A27" s="6"/>
      <c r="B27" s="6"/>
      <c r="C27" s="6"/>
      <c r="D27" s="6"/>
      <c r="E27" s="6"/>
      <c r="F27" s="6"/>
      <c r="G27" s="6"/>
      <c r="H27" s="7"/>
      <c r="I27" s="6"/>
    </row>
    <row r="28">
      <c r="A28" s="6"/>
      <c r="B28" s="6"/>
      <c r="C28" s="6"/>
      <c r="D28" s="6"/>
      <c r="E28" s="6"/>
      <c r="F28" s="6"/>
      <c r="G28" s="6"/>
      <c r="H28" s="7"/>
      <c r="I28" s="6"/>
    </row>
    <row r="29">
      <c r="A29" s="6"/>
      <c r="B29" s="6"/>
      <c r="C29" s="6"/>
      <c r="D29" s="6"/>
      <c r="E29" s="6"/>
      <c r="F29" s="6"/>
      <c r="G29" s="6"/>
      <c r="H29" s="7"/>
      <c r="I29" s="6"/>
    </row>
  </sheetData>
  <mergeCells count="1">
    <mergeCell ref="A2:I2"/>
  </mergeCells>
  <dataValidations count="3">
    <dataValidation type="list" allowBlank="1" showErrorMessage="1" errorTitle="Choose from the list" error="Choose one of: OT, IT, Operations, Management, OT and IT, OT and operations, All four." sqref="E5:E29">
      <formula1>"OT,IT,Operations,Management,OT and IT,OT and operations,All four"</formula1>
    </dataValidation>
    <dataValidation type="date" operator="greaterThan" allowBlank="1" showErrorMessage="1" errorTitle="Date" error="Enter a date, for example 2027-03-31." sqref="H5:H29">
      <formula1>36526</formula1>
    </dataValidation>
    <dataValidation type="list" allowBlank="1" showErrorMessage="1" errorTitle="Choose from the list" error="Choose one of: Open, In progress, Done." sqref="I5:I29">
      <formula1>"Open,In progress,Done"</formula1>
    </dataValidation>
  </dataValidations>
  <pageMargins left="0.4" right="0.4" top="0.5" bottom="0.5" header="0.3" footer="0.3"/>
  <pageSetup paperSize="9" orientation="landscape" fitToWidth="1" fitToHeight="0"/>
</worksheet>
</file>

<file path=docProps/app.xml><?xml version="1.0" encoding="utf-8"?>
<Properties xmlns="http://schemas.openxmlformats.org/officeDocument/2006/extended-properties">
  <Application>Software Lantern</Application>
</Properties>
</file>

<file path=docProps/core.xml><?xml version="1.0" encoding="utf-8"?>
<cp:coreProperties xmlns:cp="http://schemas.openxmlformats.org/package/2006/metadata/core-properties" xmlns:dc="http://purl.org/dc/elements/1.1/" xmlns:dcterms="http://purl.org/dc/terms/" xmlns:xsi="http://www.w3.org/2001/XMLSchema-instance">
  <dc:title>Vendor demo comparison checklist, version 2</dc:title>
  <dc:creator>Software Lantern</dc:creator>
</cp:coreProperties>
</file>